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T Сводка" sheetId="1" r:id="rId4"/>
    <sheet state="visible" name="PERT Тимур" sheetId="2" r:id="rId5"/>
    <sheet state="visible" name="PERT Леша" sheetId="3" r:id="rId6"/>
    <sheet state="visible" name="PERT Ева" sheetId="4" r:id="rId7"/>
    <sheet state="visible" name="PERT Адам" sheetId="5" r:id="rId8"/>
    <sheet state="visible" name="PERT Дима" sheetId="6" r:id="rId9"/>
    <sheet state="visible" name="PERT Шаблон" sheetId="7" r:id="rId10"/>
    <sheet state="visible" name="Use cases" sheetId="8" r:id="rId11"/>
    <sheet state="visible" name="Таблица для Gant" sheetId="9" r:id="rId12"/>
    <sheet state="visible" name="Диаграмма Ганта" sheetId="10" r:id="rId13"/>
  </sheets>
  <definedNames/>
  <calcPr/>
</workbook>
</file>

<file path=xl/sharedStrings.xml><?xml version="1.0" encoding="utf-8"?>
<sst xmlns="http://schemas.openxmlformats.org/spreadsheetml/2006/main" count="2397" uniqueCount="236">
  <si>
    <t>ID</t>
  </si>
  <si>
    <t>Фаза</t>
  </si>
  <si>
    <t>Название задачи</t>
  </si>
  <si>
    <t>Тип работы</t>
  </si>
  <si>
    <t>O_avg (дни)</t>
  </si>
  <si>
    <t>M_avg (дни)</t>
  </si>
  <si>
    <t>P_avg (дни)</t>
  </si>
  <si>
    <t>Te_avg (дни)</t>
  </si>
  <si>
    <t>Var (дни)</t>
  </si>
  <si>
    <t>Выводы</t>
  </si>
  <si>
    <t>Инициация и управление</t>
  </si>
  <si>
    <t>Определить цели и метрики успеха MVP</t>
  </si>
  <si>
    <t>Управление</t>
  </si>
  <si>
    <t>Ожидаемая длительность (в днях)</t>
  </si>
  <si>
    <t>Определить Definition of Done для MVP</t>
  </si>
  <si>
    <t>Кол-во рабочих дней в месяце</t>
  </si>
  <si>
    <t>Сформировать high-level roadmap релиза MVP</t>
  </si>
  <si>
    <t>Ожидаемая длительность (в месяцах)</t>
  </si>
  <si>
    <t>Определить состав команды и распределить роли</t>
  </si>
  <si>
    <t>* предполагается, что каждая задача выполняется одним исполнителем</t>
  </si>
  <si>
    <t>Идентифицировать и описать ключевые риски проекта</t>
  </si>
  <si>
    <t>Настроить процесс управления задачами (доска, статусы, правила работы)</t>
  </si>
  <si>
    <t>Сумма дисперсий</t>
  </si>
  <si>
    <t>Требования и scope MVP</t>
  </si>
  <si>
    <t>Проанализировать аналоги и базовый функционал для уточнения scope</t>
  </si>
  <si>
    <t>Аналитика</t>
  </si>
  <si>
    <t>Стандартное отклонение (в днях)</t>
  </si>
  <si>
    <t>Сформировать список функциональных требований к MVP</t>
  </si>
  <si>
    <t>Сформировать список нефункциональных требований (время ответа, платформы, лимиты)</t>
  </si>
  <si>
    <t>Количество людей в команде</t>
  </si>
  <si>
    <t>Зафиксировать список того, что не входит в MVP</t>
  </si>
  <si>
    <t>Описать сценарий «распознать фильм по одному фото» в виде спецификации</t>
  </si>
  <si>
    <t>Описать сценарии работы с лимитами free-tier и превышения лимита</t>
  </si>
  <si>
    <t>Утвердить документ требований MVP внутри команды</t>
  </si>
  <si>
    <t>UX / UI и сценарии</t>
  </si>
  <si>
    <t>Определить пользовательские роли и ключевые сценарии использования</t>
  </si>
  <si>
    <t>UX/UI</t>
  </si>
  <si>
    <t>Построить пользовательский поток распознавания фильма по фото</t>
  </si>
  <si>
    <t>Построить пользовательский поток просмотра истории запросов</t>
  </si>
  <si>
    <t>Спроектировать UX обработки ошибок (нет сети, плохое фото, фильм не найден)</t>
  </si>
  <si>
    <t>Подготовить wireframes стартового экрана и экрана загрузки фото</t>
  </si>
  <si>
    <t>Подготовить wireframes экрана результата и экрана истории запросов</t>
  </si>
  <si>
    <t>Подготовить wireframes экрана логина/регистрации и экрана лимитов</t>
  </si>
  <si>
    <t>Провести внутреннее UX-ревью и финализировать UX-спецификацию</t>
  </si>
  <si>
    <t>Архитектура и инфраструктура</t>
  </si>
  <si>
    <t>Определить технологический стек backend и БД</t>
  </si>
  <si>
    <t>Архитектура</t>
  </si>
  <si>
    <t>Определить стек и способ развёртывания ML-сервиса (язык, фреймворк, тип API)</t>
  </si>
  <si>
    <t>Спроектировать логическую архитектуру системы (mobile - backend - ML - БД - внешние сервисы)</t>
  </si>
  <si>
    <t>Спроектировать модель данных и ER-диаграмму (фильмы, актёры, пользователи, запросы, лимиты)</t>
  </si>
  <si>
    <t>Настроить репозитории и базовую структуру проектов (backend, mobile, ML)</t>
  </si>
  <si>
    <t>Инфраструктура</t>
  </si>
  <si>
    <t>Подготовить docker-compose для локального окружения backend, БД и заглушки ML</t>
  </si>
  <si>
    <t>Настроить CI-пайплайн для backend (сборка, тесты, линтер)</t>
  </si>
  <si>
    <t>Настроить CI-пайплайн для Android-приложения (сборка, базовые проверки)</t>
  </si>
  <si>
    <t>ML и данные</t>
  </si>
  <si>
    <t>Определить источники датасета и критерии отбора фильмов и кадров</t>
  </si>
  <si>
    <t>ML</t>
  </si>
  <si>
    <t>Спроектировать структуру хранения датасета и аннотаций (папки, форматы, схемы)</t>
  </si>
  <si>
    <t>Реализовать скрипт загрузки изображений и метаданных из выбранных источников</t>
  </si>
  <si>
    <t>Реализовать скрипт предобработки изображений (resize, нормализация и т.п.)</t>
  </si>
  <si>
    <t>Разбить датасет на train / validation / test с фиксированными пропорциями</t>
  </si>
  <si>
    <t>Провести исследование и сравнение кандидатных архитектур модели распознавания</t>
  </si>
  <si>
    <t>Зафиксировать финальную архитектуру модели и требования к инференсу (формат I/O, latency)</t>
  </si>
  <si>
    <t>Реализовать training-пайплайн для выбранной модели (конфиги, обучение, логирование метрик)</t>
  </si>
  <si>
    <t>Обучить базовую модель и собрать ключевые метрики качества (accuracy/top-k, время инференса)</t>
  </si>
  <si>
    <t>Реализовать и развернуть в dev сервис инференса модели с API</t>
  </si>
  <si>
    <t>Backend и API</t>
  </si>
  <si>
    <t>Спроектировать REST-контракты между мобильным клиентом, backend и ML-сервисом</t>
  </si>
  <si>
    <t>Backend</t>
  </si>
  <si>
    <t>Спроектировать REST-контракты интеграции с внешним API метаданных фильмов</t>
  </si>
  <si>
    <t>Реализовать схему БД и миграции для фильмов, актёров, пользователей, запросов и лимитов</t>
  </si>
  <si>
    <t>Реализовать слой доступа к данным (репозитории/DAO) для основных сущностей</t>
  </si>
  <si>
    <t>Реализовать клиент интеграции с внешним API метаданных фильмов</t>
  </si>
  <si>
    <t>Реализовать сервис обогащения карточки фильма данными из внешнего API</t>
  </si>
  <si>
    <t>Реализовать endpoint приёма изображения от клиента и передачи его в ML-сервис</t>
  </si>
  <si>
    <t>Реализовать обработку результата от ML-сервиса и формирование карточки фильма</t>
  </si>
  <si>
    <t>Реализовать регистрацию и авторизацию пользователя (минимальная схема)</t>
  </si>
  <si>
    <t>Реализовать учёт и проверку лимитов free-tier при вызове распознавания</t>
  </si>
  <si>
    <t>Реализовать endpoint получения истории запросов пользователя</t>
  </si>
  <si>
    <t>Мобильное приложение (Android)</t>
  </si>
  <si>
    <t>Инициализировать Android-проект и базовую конфигурацию (модули, зависимости)</t>
  </si>
  <si>
    <t>Mobile</t>
  </si>
  <si>
    <t>Настроить навигацию между основными экранами приложения</t>
  </si>
  <si>
    <t>Реализовать стартовый экран с кратким описанием сервиса и CTA</t>
  </si>
  <si>
    <t>Реализовать экран логина/регистрации и интегрировать его с backend-API</t>
  </si>
  <si>
    <t>Реализовать экран выбора источника изображения (камера или галерея)</t>
  </si>
  <si>
    <t>Реализовать съёмку фото с камеры и получение изображения в приложении</t>
  </si>
  <si>
    <t>Реализовать выбор фото из галереи устройства</t>
  </si>
  <si>
    <t>Реализовать отправку выбранного изображения на backend и отображение состояния загрузки</t>
  </si>
  <si>
    <t>Реализовать экран результата распознавания с карточкой фильма</t>
  </si>
  <si>
    <t>Реализовать обработку сценария «фильм не найден / низкая уверенность» на экране результата</t>
  </si>
  <si>
    <t>Реализовать экран истории запросов с загрузкой данных с backend и переходом к карточке фильма</t>
  </si>
  <si>
    <t>Тестирование, релиз и поддержка</t>
  </si>
  <si>
    <t>Составить план тестирования MVP (unit, интеграционные, E2E, ручные сценарии)</t>
  </si>
  <si>
    <t>Тестирование</t>
  </si>
  <si>
    <t>Реализовать unit-тесты для ключевых backend-сервисов (обогащение, лимиты, история запросов)</t>
  </si>
  <si>
    <t>Реализовать интеграционные тесты backend + БД для основных сценариев</t>
  </si>
  <si>
    <t>Реализовать интеграционные тесты взаимодействия backend с ML-сервисом</t>
  </si>
  <si>
    <t>Подготовить и выполнить базовый набор E2E-сценариев (mobile + backend + ML)</t>
  </si>
  <si>
    <t>Настроить сборку и распространение internal build Android-приложения для тестировщиков</t>
  </si>
  <si>
    <t>Подготовить документацию по публичному API backend</t>
  </si>
  <si>
    <t>Документация</t>
  </si>
  <si>
    <t>Подготовить краткую документацию по основным пользовательским сценариям приложения</t>
  </si>
  <si>
    <t>Составить план пострелизной поддержки и список известных ограничений MVP</t>
  </si>
  <si>
    <t>O (дни)</t>
  </si>
  <si>
    <t>M (дни)</t>
  </si>
  <si>
    <t>P (дни)</t>
  </si>
  <si>
    <t>UC_Name</t>
  </si>
  <si>
    <t>Category</t>
  </si>
  <si>
    <t>Weight</t>
  </si>
  <si>
    <t>UC1</t>
  </si>
  <si>
    <t>Запустить_приложение</t>
  </si>
  <si>
    <t>Simple</t>
  </si>
  <si>
    <t>UC2</t>
  </si>
  <si>
    <t>Просмотреть_лимиты_free-tier</t>
  </si>
  <si>
    <t>Medium</t>
  </si>
  <si>
    <t>UC3</t>
  </si>
  <si>
    <t>Выйти_из_аккаунта</t>
  </si>
  <si>
    <t>UC4</t>
  </si>
  <si>
    <t>Зарегистрироваться</t>
  </si>
  <si>
    <t>UC5</t>
  </si>
  <si>
    <t>Войти_в_систему</t>
  </si>
  <si>
    <t>UC6</t>
  </si>
  <si>
    <t>Сделать_фото</t>
  </si>
  <si>
    <t>Complex</t>
  </si>
  <si>
    <t>UC7</t>
  </si>
  <si>
    <t>Выбрать_фото_из_галереи</t>
  </si>
  <si>
    <t>UC8</t>
  </si>
  <si>
    <t>Просмотреть_результат</t>
  </si>
  <si>
    <t>UC9</t>
  </si>
  <si>
    <t>Просмотреть_историю</t>
  </si>
  <si>
    <t>UC10</t>
  </si>
  <si>
    <t>Открыть_запись_из_истории</t>
  </si>
  <si>
    <t>UC11</t>
  </si>
  <si>
    <t>Распознать_фильм_по_фото</t>
  </si>
  <si>
    <t>Very_Complex</t>
  </si>
  <si>
    <t>TOTAL</t>
  </si>
  <si>
    <t>TOTAL_with_risk</t>
  </si>
  <si>
    <t>Team_Size</t>
  </si>
  <si>
    <t>Duration_days</t>
  </si>
  <si>
    <t>Duration_months</t>
  </si>
  <si>
    <t>Номер</t>
  </si>
  <si>
    <t>Роль</t>
  </si>
  <si>
    <t>Длительность_дни</t>
  </si>
  <si>
    <t>PM/Product</t>
  </si>
  <si>
    <t>PM/BA</t>
  </si>
  <si>
    <t>UX/Product</t>
  </si>
  <si>
    <t>UX</t>
  </si>
  <si>
    <t>Tech Lead</t>
  </si>
  <si>
    <t>Tech Lead/ML</t>
  </si>
  <si>
    <t>Tech Lead/Backend</t>
  </si>
  <si>
    <t>DevOps/Backend</t>
  </si>
  <si>
    <t>DevOps</t>
  </si>
  <si>
    <t>DevOps/Mobile</t>
  </si>
  <si>
    <t>ML Engineer</t>
  </si>
  <si>
    <t>ML Engineer/Backend</t>
  </si>
  <si>
    <t>Backend Dev</t>
  </si>
  <si>
    <t>Mobile Dev</t>
  </si>
  <si>
    <t>QA/PM</t>
  </si>
  <si>
    <t>QA/Backend</t>
  </si>
  <si>
    <t>QA/Backend/ML</t>
  </si>
  <si>
    <t>QA + Dev Team</t>
  </si>
  <si>
    <t>Dev/Tech Writer</t>
  </si>
  <si>
    <t>Product/Tech Writer</t>
  </si>
  <si>
    <t>Cоздайте диаграмму Ганта в GanttPRO всего в несколько кликов</t>
  </si>
  <si>
    <t>Frame Finder _ HW-5</t>
  </si>
  <si>
    <t>Цвет</t>
  </si>
  <si>
    <t>Структура задач</t>
  </si>
  <si>
    <t>Наименование задач</t>
  </si>
  <si>
    <t>Исполнитель</t>
  </si>
  <si>
    <t>Дата начала</t>
  </si>
  <si>
    <t>Дата окончания</t>
  </si>
  <si>
    <t>Крайний срок</t>
  </si>
  <si>
    <t>Прогресс (%)</t>
  </si>
  <si>
    <t>Длительность (часы)</t>
  </si>
  <si>
    <t>Трудозатраты в часах</t>
  </si>
  <si>
    <t>Затраченное время (минуты)</t>
  </si>
  <si>
    <t>Статус</t>
  </si>
  <si>
    <t>Приоритет</t>
  </si>
  <si>
    <t>Описание задачи</t>
  </si>
  <si>
    <t>Предшественник</t>
  </si>
  <si>
    <t>Стоимость</t>
  </si>
  <si>
    <t>Фактическая стоимость</t>
  </si>
  <si>
    <t>Создан</t>
  </si>
  <si>
    <t>Создатель</t>
  </si>
  <si>
    <t>Тип</t>
  </si>
  <si>
    <t>Проект</t>
  </si>
  <si>
    <t>Уровень</t>
  </si>
  <si>
    <t>Product Manager</t>
  </si>
  <si>
    <t>Открыт</t>
  </si>
  <si>
    <t>Средний</t>
  </si>
  <si>
    <t>Timur Byurchiev</t>
  </si>
  <si>
    <t>задача</t>
  </si>
  <si>
    <t>Product Manager, Business Analyst</t>
  </si>
  <si>
    <t>8, 9, 10, 11, 12</t>
  </si>
  <si>
    <t>Product Manager, UX Designer</t>
  </si>
  <si>
    <t>UX Designer</t>
  </si>
  <si>
    <t>15, 17</t>
  </si>
  <si>
    <t>15, 16, 17</t>
  </si>
  <si>
    <t>14, 17</t>
  </si>
  <si>
    <t>18, 19, 20</t>
  </si>
  <si>
    <t>Tech Lead, ML Engineer</t>
  </si>
  <si>
    <t>22, 23</t>
  </si>
  <si>
    <t>Tech Lead, Backend Developer</t>
  </si>
  <si>
    <t>Backend Developer, DevOps Engineer</t>
  </si>
  <si>
    <t>DevOps Engineer</t>
  </si>
  <si>
    <t>DevOps Engineer, Mobile Dev</t>
  </si>
  <si>
    <t>23, 24</t>
  </si>
  <si>
    <t>ML Engineer, Backend Developer</t>
  </si>
  <si>
    <t>27, 38</t>
  </si>
  <si>
    <t>Backend Developer</t>
  </si>
  <si>
    <t>24, 36</t>
  </si>
  <si>
    <t>44, 43</t>
  </si>
  <si>
    <t>39, 40</t>
  </si>
  <si>
    <t>46, 45</t>
  </si>
  <si>
    <t>21, 26</t>
  </si>
  <si>
    <t>52, 48</t>
  </si>
  <si>
    <t>57, 56, 46</t>
  </si>
  <si>
    <t>58, 47</t>
  </si>
  <si>
    <t>52, 50</t>
  </si>
  <si>
    <t>Product Manager, QA Engineer</t>
  </si>
  <si>
    <t>13, 21, 24</t>
  </si>
  <si>
    <t>Backend Developer, QA Engineer</t>
  </si>
  <si>
    <t>50, 49, 47, 45</t>
  </si>
  <si>
    <t>50, 49, 43, 42</t>
  </si>
  <si>
    <t>ML Engineer, Backend Developer, QA Engineer</t>
  </si>
  <si>
    <t>47, 46, 39</t>
  </si>
  <si>
    <t>ML Engineer, Backend Developer, DevOps Engineer, Mobile Dev, QA Engineer</t>
  </si>
  <si>
    <t>65, 64, 63, 61, 59</t>
  </si>
  <si>
    <t>Tech Writer</t>
  </si>
  <si>
    <t>40, 41, 47, 46</t>
  </si>
  <si>
    <t>Product Manager, Tech Writer</t>
  </si>
  <si>
    <t>21, 13</t>
  </si>
  <si>
    <t>66, 68, 69</t>
  </si>
  <si>
    <t>Этот документ был создан с помощью онлайн-сервиса https://ganttpro.com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</si>
</sst>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.yyyy"/>
    <numFmt numFmtId="166" formatCode="d.m.yyyy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00000"/>
      <name val="Times"/>
    </font>
    <font>
      <b/>
      <sz val="10.0"/>
      <color rgb="FF000000"/>
      <name val="Arial"/>
      <scheme val="minor"/>
    </font>
    <font>
      <color theme="1"/>
      <name val="Arial"/>
    </font>
    <font>
      <sz val="11.0"/>
      <color rgb="FF000000"/>
      <name val="Calibri"/>
    </font>
    <font>
      <sz val="11.0"/>
      <color rgb="FFFFFFFF"/>
      <name val="Calibri"/>
    </font>
    <font>
      <b/>
      <sz val="9.0"/>
      <color rgb="FFFFFFFF"/>
      <name val="Calibri"/>
    </font>
    <font>
      <b/>
      <sz val="9.0"/>
      <color rgb="FF222222"/>
      <name val="Calibri"/>
    </font>
    <font>
      <sz val="11.0"/>
      <color rgb="FF888888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564C"/>
        <bgColor rgb="FF00564C"/>
      </patternFill>
    </fill>
    <fill>
      <patternFill patternType="solid">
        <fgColor rgb="FF1A7367"/>
        <bgColor rgb="FF1A7367"/>
      </patternFill>
    </fill>
    <fill>
      <patternFill patternType="solid">
        <fgColor rgb="FFDAFFF0"/>
        <bgColor rgb="FFDAFFF0"/>
      </patternFill>
    </fill>
    <fill>
      <patternFill patternType="solid">
        <fgColor rgb="FF50C7D6"/>
        <bgColor rgb="FF50C7D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1E3D5"/>
      </right>
      <bottom style="thin">
        <color rgb="FFC1E3D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  <xf borderId="0" fillId="0" fontId="2" numFmtId="0" xfId="0" applyFont="1"/>
    <xf borderId="1" fillId="0" fontId="4" numFmtId="0" xfId="0" applyAlignment="1" applyBorder="1" applyFont="1">
      <alignment horizontal="center" readingOrder="0" shrinkToFit="0" vertical="top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0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left" shrinkToFit="0" vertical="top" wrapText="0"/>
    </xf>
    <xf borderId="0" fillId="2" fontId="6" numFmtId="0" xfId="0" applyAlignment="1" applyFill="1" applyFont="1">
      <alignment shrinkToFit="0" vertical="bottom" wrapText="0"/>
    </xf>
    <xf borderId="0" fillId="2" fontId="7" numFmtId="0" xfId="0" applyAlignment="1" applyFont="1">
      <alignment horizontal="right" readingOrder="0" shrinkToFit="0" wrapText="0"/>
    </xf>
    <xf borderId="0" fillId="3" fontId="8" numFmtId="0" xfId="0" applyAlignment="1" applyFill="1" applyFont="1">
      <alignment readingOrder="0" shrinkToFit="0" wrapText="0"/>
    </xf>
    <xf borderId="0" fillId="3" fontId="8" numFmtId="165" xfId="0" applyAlignment="1" applyFont="1" applyNumberFormat="1">
      <alignment horizontal="right" readingOrder="0" shrinkToFit="0" wrapText="0"/>
    </xf>
    <xf borderId="2" fillId="4" fontId="9" numFmtId="0" xfId="0" applyAlignment="1" applyBorder="1" applyFill="1" applyFont="1">
      <alignment horizontal="left" readingOrder="0" shrinkToFit="0" wrapText="0"/>
    </xf>
    <xf borderId="0" fillId="5" fontId="6" numFmtId="0" xfId="0" applyAlignment="1" applyFill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66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152400</xdr:colOff>
      <xdr:row>0</xdr:row>
      <xdr:rowOff>152400</xdr:rowOff>
    </xdr:from>
    <xdr:ext cx="11144250" cy="62293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87.0"/>
    <col customWidth="1" min="4" max="4" width="19.75"/>
    <col customWidth="1" min="10" max="10" width="10.38"/>
    <col customWidth="1" min="11" max="11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/>
      <c r="K1" s="2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45658.0</v>
      </c>
      <c r="B2" s="5" t="s">
        <v>10</v>
      </c>
      <c r="C2" s="5" t="s">
        <v>11</v>
      </c>
      <c r="D2" s="5" t="s">
        <v>12</v>
      </c>
      <c r="E2" s="6">
        <f>ROUND(AVERAGE('PERT Тимур'!E2,'PERT Леша'!E2,'PERT Ева'!E2,'PERT Адам'!E2,'PERT Дима'!E2), 4)</f>
        <v>0.8</v>
      </c>
      <c r="F2" s="6">
        <f>ROUND(AVERAGE('PERT Тимур'!F2,'PERT Леша'!F2,'PERT Ева'!F2,'PERT Адам'!F2,'PERT Дима'!F2), 4)</f>
        <v>1.5</v>
      </c>
      <c r="G2" s="6">
        <f>ROUND(AVERAGE('PERT Тимур'!G2,'PERT Леша'!G2,'PERT Ева'!G2,'PERT Адам'!G2,'PERT Дима'!G2), 4)</f>
        <v>2.4</v>
      </c>
      <c r="H2" s="6">
        <f t="shared" ref="H2:H71" si="1">ROUND((E2+4*F2+G2)/6,2)</f>
        <v>1.53</v>
      </c>
      <c r="I2" s="6">
        <f t="shared" ref="I2:I71" si="2">ROUND(POW((G2 - E2) / 6,2), 4)</f>
        <v>0.0711</v>
      </c>
      <c r="K2" s="5" t="s">
        <v>13</v>
      </c>
      <c r="L2" s="6">
        <f>ROUND(SUM(H2:H71) / L10, 2)</f>
        <v>26.96</v>
      </c>
    </row>
    <row r="3">
      <c r="A3" s="4">
        <v>45689.0</v>
      </c>
      <c r="B3" s="5" t="s">
        <v>10</v>
      </c>
      <c r="C3" s="5" t="s">
        <v>14</v>
      </c>
      <c r="D3" s="5" t="s">
        <v>12</v>
      </c>
      <c r="E3" s="6">
        <f>ROUND(AVERAGE('PERT Тимур'!E3,'PERT Леша'!E3,'PERT Ева'!E3,'PERT Адам'!E3,'PERT Дима'!E3), 4)</f>
        <v>0.7</v>
      </c>
      <c r="F3" s="6">
        <f>ROUND(AVERAGE('PERT Тимур'!F3,'PERT Леша'!F3,'PERT Ева'!F3,'PERT Адам'!F3,'PERT Дима'!F3), 4)</f>
        <v>1.3</v>
      </c>
      <c r="G3" s="6">
        <f>ROUND(AVERAGE('PERT Тимур'!G3,'PERT Леша'!G3,'PERT Ева'!G3,'PERT Адам'!G3,'PERT Дима'!G3), 4)</f>
        <v>2.3</v>
      </c>
      <c r="H3" s="6">
        <f t="shared" si="1"/>
        <v>1.37</v>
      </c>
      <c r="I3" s="6">
        <f t="shared" si="2"/>
        <v>0.0711</v>
      </c>
      <c r="K3" s="5" t="s">
        <v>15</v>
      </c>
      <c r="L3" s="5">
        <v>20.0</v>
      </c>
    </row>
    <row r="4">
      <c r="A4" s="4">
        <v>45717.0</v>
      </c>
      <c r="B4" s="5" t="s">
        <v>10</v>
      </c>
      <c r="C4" s="5" t="s">
        <v>16</v>
      </c>
      <c r="D4" s="5" t="s">
        <v>12</v>
      </c>
      <c r="E4" s="6">
        <f>ROUND(AVERAGE('PERT Тимур'!E4,'PERT Леша'!E4,'PERT Ева'!E4,'PERT Адам'!E4,'PERT Дима'!E4), 4)</f>
        <v>0.9</v>
      </c>
      <c r="F4" s="6">
        <f>ROUND(AVERAGE('PERT Тимур'!F4,'PERT Леша'!F4,'PERT Ева'!F4,'PERT Адам'!F4,'PERT Дима'!F4), 4)</f>
        <v>1.9</v>
      </c>
      <c r="G4" s="6">
        <f>ROUND(AVERAGE('PERT Тимур'!G4,'PERT Леша'!G4,'PERT Ева'!G4,'PERT Адам'!G4,'PERT Дима'!G4), 4)</f>
        <v>3.2</v>
      </c>
      <c r="H4" s="6">
        <f t="shared" si="1"/>
        <v>1.95</v>
      </c>
      <c r="I4" s="6">
        <f t="shared" si="2"/>
        <v>0.1469</v>
      </c>
      <c r="K4" s="5" t="s">
        <v>17</v>
      </c>
      <c r="L4" s="6">
        <f>ROUND(L2/L3, 2)</f>
        <v>1.35</v>
      </c>
    </row>
    <row r="5">
      <c r="A5" s="4">
        <v>45748.0</v>
      </c>
      <c r="B5" s="5" t="s">
        <v>10</v>
      </c>
      <c r="C5" s="5" t="s">
        <v>18</v>
      </c>
      <c r="D5" s="5" t="s">
        <v>12</v>
      </c>
      <c r="E5" s="6">
        <f>ROUND(AVERAGE('PERT Тимур'!E5,'PERT Леша'!E5,'PERT Ева'!E5,'PERT Адам'!E5,'PERT Дима'!E5), 4)</f>
        <v>0.6</v>
      </c>
      <c r="F5" s="6">
        <f>ROUND(AVERAGE('PERT Тимур'!F5,'PERT Леша'!F5,'PERT Ева'!F5,'PERT Адам'!F5,'PERT Дима'!F5), 4)</f>
        <v>1.1</v>
      </c>
      <c r="G5" s="6">
        <f>ROUND(AVERAGE('PERT Тимур'!G5,'PERT Леша'!G5,'PERT Ева'!G5,'PERT Адам'!G5,'PERT Дима'!G5), 4)</f>
        <v>1.9</v>
      </c>
      <c r="H5" s="6">
        <f t="shared" si="1"/>
        <v>1.15</v>
      </c>
      <c r="I5" s="6">
        <f t="shared" si="2"/>
        <v>0.0469</v>
      </c>
      <c r="K5" s="5" t="s">
        <v>19</v>
      </c>
    </row>
    <row r="6">
      <c r="A6" s="4">
        <v>45778.0</v>
      </c>
      <c r="B6" s="5" t="s">
        <v>10</v>
      </c>
      <c r="C6" s="5" t="s">
        <v>20</v>
      </c>
      <c r="D6" s="5" t="s">
        <v>12</v>
      </c>
      <c r="E6" s="6">
        <f>ROUND(AVERAGE('PERT Тимур'!E6,'PERT Леша'!E6,'PERT Ева'!E6,'PERT Адам'!E6,'PERT Дима'!E6), 4)</f>
        <v>0.9</v>
      </c>
      <c r="F6" s="6">
        <f>ROUND(AVERAGE('PERT Тимур'!F6,'PERT Леша'!F6,'PERT Ева'!F6,'PERT Адам'!F6,'PERT Дима'!F6), 4)</f>
        <v>1.7</v>
      </c>
      <c r="G6" s="6">
        <f>ROUND(AVERAGE('PERT Тимур'!G6,'PERT Леша'!G6,'PERT Ева'!G6,'PERT Адам'!G6,'PERT Дима'!G6), 4)</f>
        <v>2.9</v>
      </c>
      <c r="H6" s="6">
        <f t="shared" si="1"/>
        <v>1.77</v>
      </c>
      <c r="I6" s="6">
        <f t="shared" si="2"/>
        <v>0.1111</v>
      </c>
    </row>
    <row r="7">
      <c r="A7" s="4">
        <v>45809.0</v>
      </c>
      <c r="B7" s="5" t="s">
        <v>10</v>
      </c>
      <c r="C7" s="5" t="s">
        <v>21</v>
      </c>
      <c r="D7" s="5" t="s">
        <v>12</v>
      </c>
      <c r="E7" s="6">
        <f>ROUND(AVERAGE('PERT Тимур'!E7,'PERT Леша'!E7,'PERT Ева'!E7,'PERT Адам'!E7,'PERT Дима'!E7), 4)</f>
        <v>1.1</v>
      </c>
      <c r="F7" s="6">
        <f>ROUND(AVERAGE('PERT Тимур'!F7,'PERT Леша'!F7,'PERT Ева'!F7,'PERT Адам'!F7,'PERT Дима'!F7), 4)</f>
        <v>1.9</v>
      </c>
      <c r="G7" s="6">
        <f>ROUND(AVERAGE('PERT Тимур'!G7,'PERT Леша'!G7,'PERT Ева'!G7,'PERT Адам'!G7,'PERT Дима'!G7), 4)</f>
        <v>3.2</v>
      </c>
      <c r="H7" s="6">
        <f t="shared" si="1"/>
        <v>1.98</v>
      </c>
      <c r="I7" s="6">
        <f t="shared" si="2"/>
        <v>0.1225</v>
      </c>
      <c r="K7" s="5" t="s">
        <v>22</v>
      </c>
      <c r="L7" s="6">
        <f>SUM(I2:I71)</f>
        <v>11.1171</v>
      </c>
    </row>
    <row r="8">
      <c r="A8" s="4">
        <v>45659.0</v>
      </c>
      <c r="B8" s="5" t="s">
        <v>23</v>
      </c>
      <c r="C8" s="5" t="s">
        <v>24</v>
      </c>
      <c r="D8" s="5" t="s">
        <v>25</v>
      </c>
      <c r="E8" s="6">
        <f>ROUND(AVERAGE('PERT Тимур'!E8,'PERT Леша'!E8,'PERT Ева'!E8,'PERT Адам'!E8,'PERT Дима'!E8), 4)</f>
        <v>1</v>
      </c>
      <c r="F8" s="6">
        <f>ROUND(AVERAGE('PERT Тимур'!F8,'PERT Леша'!F8,'PERT Ева'!F8,'PERT Адам'!F8,'PERT Дима'!F8), 4)</f>
        <v>2</v>
      </c>
      <c r="G8" s="6">
        <f>ROUND(AVERAGE('PERT Тимур'!G8,'PERT Леша'!G8,'PERT Ева'!G8,'PERT Адам'!G8,'PERT Дима'!G8), 4)</f>
        <v>3.7</v>
      </c>
      <c r="H8" s="6">
        <f t="shared" si="1"/>
        <v>2.12</v>
      </c>
      <c r="I8" s="6">
        <f t="shared" si="2"/>
        <v>0.2025</v>
      </c>
      <c r="K8" s="5" t="s">
        <v>26</v>
      </c>
      <c r="L8" s="6">
        <f>ROUND(SQRT(L7), 4)</f>
        <v>3.3342</v>
      </c>
    </row>
    <row r="9">
      <c r="A9" s="4">
        <v>45690.0</v>
      </c>
      <c r="B9" s="5" t="s">
        <v>23</v>
      </c>
      <c r="C9" s="5" t="s">
        <v>27</v>
      </c>
      <c r="D9" s="5" t="s">
        <v>25</v>
      </c>
      <c r="E9" s="6">
        <f>ROUND(AVERAGE('PERT Тимур'!E9,'PERT Леша'!E9,'PERT Ева'!E9,'PERT Адам'!E9,'PERT Дима'!E9), 4)</f>
        <v>1</v>
      </c>
      <c r="F9" s="6">
        <f>ROUND(AVERAGE('PERT Тимур'!F9,'PERT Леша'!F9,'PERT Ева'!F9,'PERT Адам'!F9,'PERT Дима'!F9), 4)</f>
        <v>2</v>
      </c>
      <c r="G9" s="6">
        <f>ROUND(AVERAGE('PERT Тимур'!G9,'PERT Леша'!G9,'PERT Ева'!G9,'PERT Адам'!G9,'PERT Дима'!G9), 4)</f>
        <v>3.2</v>
      </c>
      <c r="H9" s="6">
        <f t="shared" si="1"/>
        <v>2.03</v>
      </c>
      <c r="I9" s="6">
        <f t="shared" si="2"/>
        <v>0.1344</v>
      </c>
    </row>
    <row r="10">
      <c r="A10" s="4">
        <v>45718.0</v>
      </c>
      <c r="B10" s="5" t="s">
        <v>23</v>
      </c>
      <c r="C10" s="5" t="s">
        <v>28</v>
      </c>
      <c r="D10" s="5" t="s">
        <v>25</v>
      </c>
      <c r="E10" s="6">
        <f>ROUND(AVERAGE('PERT Тимур'!E10,'PERT Леша'!E10,'PERT Ева'!E10,'PERT Адам'!E10,'PERT Дима'!E10), 4)</f>
        <v>0.9</v>
      </c>
      <c r="F10" s="6">
        <f>ROUND(AVERAGE('PERT Тимур'!F10,'PERT Леша'!F10,'PERT Ева'!F10,'PERT Адам'!F10,'PERT Дима'!F10), 4)</f>
        <v>1.7</v>
      </c>
      <c r="G10" s="6">
        <f>ROUND(AVERAGE('PERT Тимур'!G10,'PERT Леша'!G10,'PERT Ева'!G10,'PERT Адам'!G10,'PERT Дима'!G10), 4)</f>
        <v>2.8</v>
      </c>
      <c r="H10" s="6">
        <f t="shared" si="1"/>
        <v>1.75</v>
      </c>
      <c r="I10" s="6">
        <f t="shared" si="2"/>
        <v>0.1003</v>
      </c>
      <c r="K10" s="5" t="s">
        <v>29</v>
      </c>
      <c r="L10" s="5">
        <v>5.0</v>
      </c>
    </row>
    <row r="11">
      <c r="A11" s="4">
        <v>45749.0</v>
      </c>
      <c r="B11" s="5" t="s">
        <v>23</v>
      </c>
      <c r="C11" s="5" t="s">
        <v>30</v>
      </c>
      <c r="D11" s="5" t="s">
        <v>25</v>
      </c>
      <c r="E11" s="6">
        <f>ROUND(AVERAGE('PERT Тимур'!E11,'PERT Леша'!E11,'PERT Ева'!E11,'PERT Адам'!E11,'PERT Дима'!E11), 4)</f>
        <v>0.6</v>
      </c>
      <c r="F11" s="6">
        <f>ROUND(AVERAGE('PERT Тимур'!F11,'PERT Леша'!F11,'PERT Ева'!F11,'PERT Адам'!F11,'PERT Дима'!F11), 4)</f>
        <v>0.9</v>
      </c>
      <c r="G11" s="6">
        <f>ROUND(AVERAGE('PERT Тимур'!G11,'PERT Леша'!G11,'PERT Ева'!G11,'PERT Адам'!G11,'PERT Дима'!G11), 4)</f>
        <v>1.6</v>
      </c>
      <c r="H11" s="6">
        <f t="shared" si="1"/>
        <v>0.97</v>
      </c>
      <c r="I11" s="6">
        <f t="shared" si="2"/>
        <v>0.0278</v>
      </c>
    </row>
    <row r="12">
      <c r="A12" s="4">
        <v>45779.0</v>
      </c>
      <c r="B12" s="5" t="s">
        <v>23</v>
      </c>
      <c r="C12" s="5" t="s">
        <v>31</v>
      </c>
      <c r="D12" s="5" t="s">
        <v>25</v>
      </c>
      <c r="E12" s="6">
        <f>ROUND(AVERAGE('PERT Тимур'!E12,'PERT Леша'!E12,'PERT Ева'!E12,'PERT Адам'!E12,'PERT Дима'!E12), 4)</f>
        <v>1.2</v>
      </c>
      <c r="F12" s="6">
        <f>ROUND(AVERAGE('PERT Тимур'!F12,'PERT Леша'!F12,'PERT Ева'!F12,'PERT Адам'!F12,'PERT Дима'!F12), 4)</f>
        <v>2.1</v>
      </c>
      <c r="G12" s="6">
        <f>ROUND(AVERAGE('PERT Тимур'!G12,'PERT Леша'!G12,'PERT Ева'!G12,'PERT Адам'!G12,'PERT Дима'!G12), 4)</f>
        <v>3.5</v>
      </c>
      <c r="H12" s="6">
        <f t="shared" si="1"/>
        <v>2.18</v>
      </c>
      <c r="I12" s="6">
        <f t="shared" si="2"/>
        <v>0.1469</v>
      </c>
    </row>
    <row r="13">
      <c r="A13" s="4">
        <v>45810.0</v>
      </c>
      <c r="B13" s="5" t="s">
        <v>23</v>
      </c>
      <c r="C13" s="5" t="s">
        <v>32</v>
      </c>
      <c r="D13" s="5" t="s">
        <v>25</v>
      </c>
      <c r="E13" s="6">
        <f>ROUND(AVERAGE('PERT Тимур'!E13,'PERT Леша'!E13,'PERT Ева'!E13,'PERT Адам'!E13,'PERT Дима'!E13), 4)</f>
        <v>0.7</v>
      </c>
      <c r="F13" s="6">
        <f>ROUND(AVERAGE('PERT Тимур'!F13,'PERT Леша'!F13,'PERT Ева'!F13,'PERT Адам'!F13,'PERT Дима'!F13), 4)</f>
        <v>1.3</v>
      </c>
      <c r="G13" s="6">
        <f>ROUND(AVERAGE('PERT Тимур'!G13,'PERT Леша'!G13,'PERT Ева'!G13,'PERT Адам'!G13,'PERT Дима'!G13), 4)</f>
        <v>2.3</v>
      </c>
      <c r="H13" s="6">
        <f t="shared" si="1"/>
        <v>1.37</v>
      </c>
      <c r="I13" s="6">
        <f t="shared" si="2"/>
        <v>0.0711</v>
      </c>
    </row>
    <row r="14">
      <c r="A14" s="4">
        <v>45840.0</v>
      </c>
      <c r="B14" s="5" t="s">
        <v>23</v>
      </c>
      <c r="C14" s="5" t="s">
        <v>33</v>
      </c>
      <c r="D14" s="5" t="s">
        <v>12</v>
      </c>
      <c r="E14" s="6">
        <f>ROUND(AVERAGE('PERT Тимур'!E14,'PERT Леша'!E14,'PERT Ева'!E14,'PERT Адам'!E14,'PERT Дима'!E14), 4)</f>
        <v>0.9</v>
      </c>
      <c r="F14" s="6">
        <f>ROUND(AVERAGE('PERT Тимур'!F14,'PERT Леша'!F14,'PERT Ева'!F14,'PERT Адам'!F14,'PERT Дима'!F14), 4)</f>
        <v>1.5</v>
      </c>
      <c r="G14" s="6">
        <f>ROUND(AVERAGE('PERT Тимур'!G14,'PERT Леша'!G14,'PERT Ева'!G14,'PERT Адам'!G14,'PERT Дима'!G14), 4)</f>
        <v>2.5</v>
      </c>
      <c r="H14" s="6">
        <f t="shared" si="1"/>
        <v>1.57</v>
      </c>
      <c r="I14" s="6">
        <f t="shared" si="2"/>
        <v>0.0711</v>
      </c>
    </row>
    <row r="15">
      <c r="A15" s="4">
        <v>45660.0</v>
      </c>
      <c r="B15" s="5" t="s">
        <v>34</v>
      </c>
      <c r="C15" s="5" t="s">
        <v>35</v>
      </c>
      <c r="D15" s="5" t="s">
        <v>36</v>
      </c>
      <c r="E15" s="6">
        <f>ROUND(AVERAGE('PERT Тимур'!E15,'PERT Леша'!E15,'PERT Ева'!E15,'PERT Адам'!E15,'PERT Дима'!E15), 4)</f>
        <v>0.7</v>
      </c>
      <c r="F15" s="6">
        <f>ROUND(AVERAGE('PERT Тимур'!F15,'PERT Леша'!F15,'PERT Ева'!F15,'PERT Адам'!F15,'PERT Дима'!F15), 4)</f>
        <v>1.4</v>
      </c>
      <c r="G15" s="6">
        <f>ROUND(AVERAGE('PERT Тимур'!G15,'PERT Леша'!G15,'PERT Ева'!G15,'PERT Адам'!G15,'PERT Дима'!G15), 4)</f>
        <v>2.6</v>
      </c>
      <c r="H15" s="6">
        <f t="shared" si="1"/>
        <v>1.48</v>
      </c>
      <c r="I15" s="6">
        <f t="shared" si="2"/>
        <v>0.1003</v>
      </c>
    </row>
    <row r="16">
      <c r="A16" s="4">
        <v>45691.0</v>
      </c>
      <c r="B16" s="5" t="s">
        <v>34</v>
      </c>
      <c r="C16" s="5" t="s">
        <v>37</v>
      </c>
      <c r="D16" s="5" t="s">
        <v>36</v>
      </c>
      <c r="E16" s="6">
        <f>ROUND(AVERAGE('PERT Тимур'!E16,'PERT Леша'!E16,'PERT Ева'!E16,'PERT Адам'!E16,'PERT Дима'!E16), 4)</f>
        <v>0.7</v>
      </c>
      <c r="F16" s="6">
        <f>ROUND(AVERAGE('PERT Тимур'!F16,'PERT Леша'!F16,'PERT Ева'!F16,'PERT Адам'!F16,'PERT Дима'!F16), 4)</f>
        <v>1.6</v>
      </c>
      <c r="G16" s="6">
        <f>ROUND(AVERAGE('PERT Тимур'!G16,'PERT Леша'!G16,'PERT Ева'!G16,'PERT Адам'!G16,'PERT Дима'!G16), 4)</f>
        <v>2.8</v>
      </c>
      <c r="H16" s="6">
        <f t="shared" si="1"/>
        <v>1.65</v>
      </c>
      <c r="I16" s="6">
        <f t="shared" si="2"/>
        <v>0.1225</v>
      </c>
    </row>
    <row r="17">
      <c r="A17" s="4">
        <v>45719.0</v>
      </c>
      <c r="B17" s="5" t="s">
        <v>34</v>
      </c>
      <c r="C17" s="5" t="s">
        <v>38</v>
      </c>
      <c r="D17" s="5" t="s">
        <v>36</v>
      </c>
      <c r="E17" s="6">
        <f>ROUND(AVERAGE('PERT Тимур'!E17,'PERT Леша'!E17,'PERT Ева'!E17,'PERT Адам'!E17,'PERT Дима'!E17), 4)</f>
        <v>0.6</v>
      </c>
      <c r="F17" s="6">
        <f>ROUND(AVERAGE('PERT Тимур'!F17,'PERT Леша'!F17,'PERT Ева'!F17,'PERT Адам'!F17,'PERT Дима'!F17), 4)</f>
        <v>1.1</v>
      </c>
      <c r="G17" s="6">
        <f>ROUND(AVERAGE('PERT Тимур'!G17,'PERT Леша'!G17,'PERT Ева'!G17,'PERT Адам'!G17,'PERT Дима'!G17), 4)</f>
        <v>2.1</v>
      </c>
      <c r="H17" s="6">
        <f t="shared" si="1"/>
        <v>1.18</v>
      </c>
      <c r="I17" s="6">
        <f t="shared" si="2"/>
        <v>0.0625</v>
      </c>
    </row>
    <row r="18">
      <c r="A18" s="4">
        <v>45750.0</v>
      </c>
      <c r="B18" s="5" t="s">
        <v>34</v>
      </c>
      <c r="C18" s="5" t="s">
        <v>39</v>
      </c>
      <c r="D18" s="5" t="s">
        <v>36</v>
      </c>
      <c r="E18" s="6">
        <f>ROUND(AVERAGE('PERT Тимур'!E18,'PERT Леша'!E18,'PERT Ева'!E18,'PERT Адам'!E18,'PERT Дима'!E18), 4)</f>
        <v>0.8</v>
      </c>
      <c r="F18" s="6">
        <f>ROUND(AVERAGE('PERT Тимур'!F18,'PERT Леша'!F18,'PERT Ева'!F18,'PERT Адам'!F18,'PERT Дима'!F18), 4)</f>
        <v>1.5</v>
      </c>
      <c r="G18" s="6">
        <f>ROUND(AVERAGE('PERT Тимур'!G18,'PERT Леша'!G18,'PERT Ева'!G18,'PERT Адам'!G18,'PERT Дима'!G18), 4)</f>
        <v>2.5</v>
      </c>
      <c r="H18" s="6">
        <f t="shared" si="1"/>
        <v>1.55</v>
      </c>
      <c r="I18" s="6">
        <f t="shared" si="2"/>
        <v>0.0803</v>
      </c>
    </row>
    <row r="19">
      <c r="A19" s="4">
        <v>45780.0</v>
      </c>
      <c r="B19" s="5" t="s">
        <v>34</v>
      </c>
      <c r="C19" s="5" t="s">
        <v>40</v>
      </c>
      <c r="D19" s="5" t="s">
        <v>36</v>
      </c>
      <c r="E19" s="6">
        <f>ROUND(AVERAGE('PERT Тимур'!E19,'PERT Леша'!E19,'PERT Ева'!E19,'PERT Адам'!E19,'PERT Дима'!E19), 4)</f>
        <v>0.9</v>
      </c>
      <c r="F19" s="6">
        <f>ROUND(AVERAGE('PERT Тимур'!F19,'PERT Леша'!F19,'PERT Ева'!F19,'PERT Адам'!F19,'PERT Дима'!F19), 4)</f>
        <v>1.7</v>
      </c>
      <c r="G19" s="6">
        <f>ROUND(AVERAGE('PERT Тимур'!G19,'PERT Леша'!G19,'PERT Ева'!G19,'PERT Адам'!G19,'PERT Дима'!G19), 4)</f>
        <v>2.8</v>
      </c>
      <c r="H19" s="6">
        <f t="shared" si="1"/>
        <v>1.75</v>
      </c>
      <c r="I19" s="6">
        <f t="shared" si="2"/>
        <v>0.1003</v>
      </c>
    </row>
    <row r="20">
      <c r="A20" s="4">
        <v>45811.0</v>
      </c>
      <c r="B20" s="5" t="s">
        <v>34</v>
      </c>
      <c r="C20" s="5" t="s">
        <v>41</v>
      </c>
      <c r="D20" s="5" t="s">
        <v>36</v>
      </c>
      <c r="E20" s="6">
        <f>ROUND(AVERAGE('PERT Тимур'!E20,'PERT Леша'!E20,'PERT Ева'!E20,'PERT Адам'!E20,'PERT Дима'!E20), 4)</f>
        <v>1</v>
      </c>
      <c r="F20" s="6">
        <f>ROUND(AVERAGE('PERT Тимур'!F20,'PERT Леша'!F20,'PERT Ева'!F20,'PERT Адам'!F20,'PERT Дима'!F20), 4)</f>
        <v>1.9</v>
      </c>
      <c r="G20" s="6">
        <f>ROUND(AVERAGE('PERT Тимур'!G20,'PERT Леша'!G20,'PERT Ева'!G20,'PERT Адам'!G20,'PERT Дима'!G20), 4)</f>
        <v>3</v>
      </c>
      <c r="H20" s="6">
        <f t="shared" si="1"/>
        <v>1.93</v>
      </c>
      <c r="I20" s="6">
        <f t="shared" si="2"/>
        <v>0.1111</v>
      </c>
    </row>
    <row r="21">
      <c r="A21" s="4">
        <v>45841.0</v>
      </c>
      <c r="B21" s="5" t="s">
        <v>34</v>
      </c>
      <c r="C21" s="5" t="s">
        <v>42</v>
      </c>
      <c r="D21" s="5" t="s">
        <v>36</v>
      </c>
      <c r="E21" s="6">
        <f>ROUND(AVERAGE('PERT Тимур'!E21,'PERT Леша'!E21,'PERT Ева'!E21,'PERT Адам'!E21,'PERT Дима'!E21), 4)</f>
        <v>1</v>
      </c>
      <c r="F21" s="6">
        <f>ROUND(AVERAGE('PERT Тимур'!F21,'PERT Леша'!F21,'PERT Ева'!F21,'PERT Адам'!F21,'PERT Дима'!F21), 4)</f>
        <v>1.7</v>
      </c>
      <c r="G21" s="6">
        <f>ROUND(AVERAGE('PERT Тимур'!G21,'PERT Леша'!G21,'PERT Ева'!G21,'PERT Адам'!G21,'PERT Дима'!G21), 4)</f>
        <v>2.8</v>
      </c>
      <c r="H21" s="6">
        <f t="shared" si="1"/>
        <v>1.77</v>
      </c>
      <c r="I21" s="6">
        <f t="shared" si="2"/>
        <v>0.09</v>
      </c>
    </row>
    <row r="22">
      <c r="A22" s="4">
        <v>45872.0</v>
      </c>
      <c r="B22" s="5" t="s">
        <v>34</v>
      </c>
      <c r="C22" s="5" t="s">
        <v>43</v>
      </c>
      <c r="D22" s="5" t="s">
        <v>36</v>
      </c>
      <c r="E22" s="6">
        <f>ROUND(AVERAGE('PERT Тимур'!E22,'PERT Леша'!E22,'PERT Ева'!E22,'PERT Адам'!E22,'PERT Дима'!E22), 4)</f>
        <v>0.9</v>
      </c>
      <c r="F22" s="6">
        <f>ROUND(AVERAGE('PERT Тимур'!F22,'PERT Леша'!F22,'PERT Ева'!F22,'PERT Адам'!F22,'PERT Дима'!F22), 4)</f>
        <v>1.7</v>
      </c>
      <c r="G22" s="6">
        <f>ROUND(AVERAGE('PERT Тимур'!G22,'PERT Леша'!G22,'PERT Ева'!G22,'PERT Адам'!G22,'PERT Дима'!G22), 4)</f>
        <v>2.5</v>
      </c>
      <c r="H22" s="6">
        <f t="shared" si="1"/>
        <v>1.7</v>
      </c>
      <c r="I22" s="6">
        <f t="shared" si="2"/>
        <v>0.0711</v>
      </c>
    </row>
    <row r="23">
      <c r="A23" s="4">
        <v>45661.0</v>
      </c>
      <c r="B23" s="5" t="s">
        <v>44</v>
      </c>
      <c r="C23" s="5" t="s">
        <v>45</v>
      </c>
      <c r="D23" s="5" t="s">
        <v>46</v>
      </c>
      <c r="E23" s="6">
        <f>ROUND(AVERAGE('PERT Тимур'!E23,'PERT Леша'!E23,'PERT Ева'!E23,'PERT Адам'!E23,'PERT Дима'!E23), 4)</f>
        <v>0.7</v>
      </c>
      <c r="F23" s="6">
        <f>ROUND(AVERAGE('PERT Тимур'!F23,'PERT Леша'!F23,'PERT Ева'!F23,'PERT Адам'!F23,'PERT Дима'!F23), 4)</f>
        <v>1.2</v>
      </c>
      <c r="G23" s="6">
        <f>ROUND(AVERAGE('PERT Тимур'!G23,'PERT Леша'!G23,'PERT Ева'!G23,'PERT Адам'!G23,'PERT Дима'!G23), 4)</f>
        <v>2.2</v>
      </c>
      <c r="H23" s="6">
        <f t="shared" si="1"/>
        <v>1.28</v>
      </c>
      <c r="I23" s="6">
        <f t="shared" si="2"/>
        <v>0.0625</v>
      </c>
    </row>
    <row r="24">
      <c r="A24" s="4">
        <v>45692.0</v>
      </c>
      <c r="B24" s="5" t="s">
        <v>44</v>
      </c>
      <c r="C24" s="5" t="s">
        <v>47</v>
      </c>
      <c r="D24" s="5" t="s">
        <v>46</v>
      </c>
      <c r="E24" s="6">
        <f>ROUND(AVERAGE('PERT Тимур'!E24,'PERT Леша'!E24,'PERT Ева'!E24,'PERT Адам'!E24,'PERT Дима'!E24), 4)</f>
        <v>1</v>
      </c>
      <c r="F24" s="6">
        <f>ROUND(AVERAGE('PERT Тимур'!F24,'PERT Леша'!F24,'PERT Ева'!F24,'PERT Адам'!F24,'PERT Дима'!F24), 4)</f>
        <v>2</v>
      </c>
      <c r="G24" s="6">
        <f>ROUND(AVERAGE('PERT Тимур'!G24,'PERT Леша'!G24,'PERT Ева'!G24,'PERT Адам'!G24,'PERT Дима'!G24), 4)</f>
        <v>3.8</v>
      </c>
      <c r="H24" s="6">
        <f t="shared" si="1"/>
        <v>2.13</v>
      </c>
      <c r="I24" s="6">
        <f t="shared" si="2"/>
        <v>0.2178</v>
      </c>
    </row>
    <row r="25">
      <c r="A25" s="4">
        <v>45720.0</v>
      </c>
      <c r="B25" s="5" t="s">
        <v>44</v>
      </c>
      <c r="C25" s="5" t="s">
        <v>48</v>
      </c>
      <c r="D25" s="5" t="s">
        <v>46</v>
      </c>
      <c r="E25" s="6">
        <f>ROUND(AVERAGE('PERT Тимур'!E25,'PERT Леша'!E25,'PERT Ева'!E25,'PERT Адам'!E25,'PERT Дима'!E25), 4)</f>
        <v>1.3</v>
      </c>
      <c r="F25" s="6">
        <f>ROUND(AVERAGE('PERT Тимур'!F25,'PERT Леша'!F25,'PERT Ева'!F25,'PERT Адам'!F25,'PERT Дима'!F25), 4)</f>
        <v>2.6</v>
      </c>
      <c r="G25" s="6">
        <f>ROUND(AVERAGE('PERT Тимур'!G25,'PERT Леша'!G25,'PERT Ева'!G25,'PERT Адам'!G25,'PERT Дима'!G25), 4)</f>
        <v>4</v>
      </c>
      <c r="H25" s="6">
        <f t="shared" si="1"/>
        <v>2.62</v>
      </c>
      <c r="I25" s="6">
        <f t="shared" si="2"/>
        <v>0.2025</v>
      </c>
    </row>
    <row r="26">
      <c r="A26" s="4">
        <v>45751.0</v>
      </c>
      <c r="B26" s="5" t="s">
        <v>44</v>
      </c>
      <c r="C26" s="5" t="s">
        <v>49</v>
      </c>
      <c r="D26" s="5" t="s">
        <v>46</v>
      </c>
      <c r="E26" s="6">
        <f>ROUND(AVERAGE('PERT Тимур'!E26,'PERT Леша'!E26,'PERT Ева'!E26,'PERT Адам'!E26,'PERT Дима'!E26), 4)</f>
        <v>1.4</v>
      </c>
      <c r="F26" s="6">
        <f>ROUND(AVERAGE('PERT Тимур'!F26,'PERT Леша'!F26,'PERT Ева'!F26,'PERT Адам'!F26,'PERT Дима'!F26), 4)</f>
        <v>2.6</v>
      </c>
      <c r="G26" s="6">
        <f>ROUND(AVERAGE('PERT Тимур'!G26,'PERT Леша'!G26,'PERT Ева'!G26,'PERT Адам'!G26,'PERT Дима'!G26), 4)</f>
        <v>4.2</v>
      </c>
      <c r="H26" s="6">
        <f t="shared" si="1"/>
        <v>2.67</v>
      </c>
      <c r="I26" s="6">
        <f t="shared" si="2"/>
        <v>0.2178</v>
      </c>
    </row>
    <row r="27">
      <c r="A27" s="4">
        <v>45781.0</v>
      </c>
      <c r="B27" s="5" t="s">
        <v>44</v>
      </c>
      <c r="C27" s="5" t="s">
        <v>50</v>
      </c>
      <c r="D27" s="5" t="s">
        <v>51</v>
      </c>
      <c r="E27" s="6">
        <f>ROUND(AVERAGE('PERT Тимур'!E27,'PERT Леша'!E27,'PERT Ева'!E27,'PERT Адам'!E27,'PERT Дима'!E27), 4)</f>
        <v>0.8</v>
      </c>
      <c r="F27" s="6">
        <f>ROUND(AVERAGE('PERT Тимур'!F27,'PERT Леша'!F27,'PERT Ева'!F27,'PERT Адам'!F27,'PERT Дима'!F27), 4)</f>
        <v>1.6</v>
      </c>
      <c r="G27" s="6">
        <f>ROUND(AVERAGE('PERT Тимур'!G27,'PERT Леша'!G27,'PERT Ева'!G27,'PERT Адам'!G27,'PERT Дима'!G27), 4)</f>
        <v>2.8</v>
      </c>
      <c r="H27" s="6">
        <f t="shared" si="1"/>
        <v>1.67</v>
      </c>
      <c r="I27" s="6">
        <f t="shared" si="2"/>
        <v>0.1111</v>
      </c>
    </row>
    <row r="28">
      <c r="A28" s="4">
        <v>45812.0</v>
      </c>
      <c r="B28" s="5" t="s">
        <v>44</v>
      </c>
      <c r="C28" s="5" t="s">
        <v>52</v>
      </c>
      <c r="D28" s="5" t="s">
        <v>51</v>
      </c>
      <c r="E28" s="6">
        <f>ROUND(AVERAGE('PERT Тимур'!E28,'PERT Леша'!E28,'PERT Ева'!E28,'PERT Адам'!E28,'PERT Дима'!E28), 4)</f>
        <v>0.9</v>
      </c>
      <c r="F28" s="6">
        <f>ROUND(AVERAGE('PERT Тимур'!F28,'PERT Леша'!F28,'PERT Ева'!F28,'PERT Адам'!F28,'PERT Дима'!F28), 4)</f>
        <v>1.8</v>
      </c>
      <c r="G28" s="6">
        <f>ROUND(AVERAGE('PERT Тимур'!G28,'PERT Леша'!G28,'PERT Ева'!G28,'PERT Адам'!G28,'PERT Дима'!G28), 4)</f>
        <v>3.3</v>
      </c>
      <c r="H28" s="6">
        <f t="shared" si="1"/>
        <v>1.9</v>
      </c>
      <c r="I28" s="6">
        <f t="shared" si="2"/>
        <v>0.16</v>
      </c>
    </row>
    <row r="29">
      <c r="A29" s="4">
        <v>45842.0</v>
      </c>
      <c r="B29" s="5" t="s">
        <v>44</v>
      </c>
      <c r="C29" s="5" t="s">
        <v>53</v>
      </c>
      <c r="D29" s="5" t="s">
        <v>51</v>
      </c>
      <c r="E29" s="6">
        <f>ROUND(AVERAGE('PERT Тимур'!E29,'PERT Леша'!E29,'PERT Ева'!E29,'PERT Адам'!E29,'PERT Дима'!E29), 4)</f>
        <v>1.3</v>
      </c>
      <c r="F29" s="6">
        <f>ROUND(AVERAGE('PERT Тимур'!F29,'PERT Леша'!F29,'PERT Ева'!F29,'PERT Адам'!F29,'PERT Дима'!F29), 4)</f>
        <v>2.5</v>
      </c>
      <c r="G29" s="6">
        <f>ROUND(AVERAGE('PERT Тимур'!G29,'PERT Леша'!G29,'PERT Ева'!G29,'PERT Адам'!G29,'PERT Дима'!G29), 4)</f>
        <v>4.1</v>
      </c>
      <c r="H29" s="6">
        <f t="shared" si="1"/>
        <v>2.57</v>
      </c>
      <c r="I29" s="6">
        <f t="shared" si="2"/>
        <v>0.2178</v>
      </c>
    </row>
    <row r="30">
      <c r="A30" s="4">
        <v>45873.0</v>
      </c>
      <c r="B30" s="5" t="s">
        <v>44</v>
      </c>
      <c r="C30" s="5" t="s">
        <v>54</v>
      </c>
      <c r="D30" s="5" t="s">
        <v>51</v>
      </c>
      <c r="E30" s="6">
        <f>ROUND(AVERAGE('PERT Тимур'!E30,'PERT Леша'!E30,'PERT Ева'!E30,'PERT Адам'!E30,'PERT Дима'!E30), 4)</f>
        <v>1.1</v>
      </c>
      <c r="F30" s="6">
        <f>ROUND(AVERAGE('PERT Тимур'!F30,'PERT Леша'!F30,'PERT Ева'!F30,'PERT Адам'!F30,'PERT Дима'!F30), 4)</f>
        <v>2.1</v>
      </c>
      <c r="G30" s="6">
        <f>ROUND(AVERAGE('PERT Тимур'!G30,'PERT Леша'!G30,'PERT Ева'!G30,'PERT Адам'!G30,'PERT Дима'!G30), 4)</f>
        <v>3.5</v>
      </c>
      <c r="H30" s="6">
        <f t="shared" si="1"/>
        <v>2.17</v>
      </c>
      <c r="I30" s="6">
        <f t="shared" si="2"/>
        <v>0.16</v>
      </c>
    </row>
    <row r="31">
      <c r="A31" s="4">
        <v>45662.0</v>
      </c>
      <c r="B31" s="5" t="s">
        <v>55</v>
      </c>
      <c r="C31" s="5" t="s">
        <v>56</v>
      </c>
      <c r="D31" s="5" t="s">
        <v>57</v>
      </c>
      <c r="E31" s="6">
        <f>ROUND(AVERAGE('PERT Тимур'!E31,'PERT Леша'!E31,'PERT Ева'!E31,'PERT Адам'!E31,'PERT Дима'!E31), 4)</f>
        <v>1.3</v>
      </c>
      <c r="F31" s="6">
        <f>ROUND(AVERAGE('PERT Тимур'!F31,'PERT Леша'!F31,'PERT Ева'!F31,'PERT Адам'!F31,'PERT Дима'!F31), 4)</f>
        <v>2.3</v>
      </c>
      <c r="G31" s="6">
        <f>ROUND(AVERAGE('PERT Тимур'!G31,'PERT Леша'!G31,'PERT Ева'!G31,'PERT Адам'!G31,'PERT Дима'!G31), 4)</f>
        <v>3.9</v>
      </c>
      <c r="H31" s="6">
        <f t="shared" si="1"/>
        <v>2.4</v>
      </c>
      <c r="I31" s="6">
        <f t="shared" si="2"/>
        <v>0.1878</v>
      </c>
    </row>
    <row r="32">
      <c r="A32" s="4">
        <v>45693.0</v>
      </c>
      <c r="B32" s="5" t="s">
        <v>55</v>
      </c>
      <c r="C32" s="5" t="s">
        <v>58</v>
      </c>
      <c r="D32" s="5" t="s">
        <v>57</v>
      </c>
      <c r="E32" s="6">
        <f>ROUND(AVERAGE('PERT Тимур'!E32,'PERT Леша'!E32,'PERT Ева'!E32,'PERT Адам'!E32,'PERT Дима'!E32), 4)</f>
        <v>0.9</v>
      </c>
      <c r="F32" s="6">
        <f>ROUND(AVERAGE('PERT Тимур'!F32,'PERT Леша'!F32,'PERT Ева'!F32,'PERT Адам'!F32,'PERT Дима'!F32), 4)</f>
        <v>2</v>
      </c>
      <c r="G32" s="6">
        <f>ROUND(AVERAGE('PERT Тимур'!G32,'PERT Леша'!G32,'PERT Ева'!G32,'PERT Адам'!G32,'PERT Дима'!G32), 4)</f>
        <v>3.3</v>
      </c>
      <c r="H32" s="6">
        <f t="shared" si="1"/>
        <v>2.03</v>
      </c>
      <c r="I32" s="6">
        <f t="shared" si="2"/>
        <v>0.16</v>
      </c>
    </row>
    <row r="33">
      <c r="A33" s="4">
        <v>45721.0</v>
      </c>
      <c r="B33" s="5" t="s">
        <v>55</v>
      </c>
      <c r="C33" s="5" t="s">
        <v>59</v>
      </c>
      <c r="D33" s="5" t="s">
        <v>57</v>
      </c>
      <c r="E33" s="6">
        <f>ROUND(AVERAGE('PERT Тимур'!E33,'PERT Леша'!E33,'PERT Ева'!E33,'PERT Адам'!E33,'PERT Дима'!E33), 4)</f>
        <v>1.6</v>
      </c>
      <c r="F33" s="6">
        <f>ROUND(AVERAGE('PERT Тимур'!F33,'PERT Леша'!F33,'PERT Ева'!F33,'PERT Адам'!F33,'PERT Дима'!F33), 4)</f>
        <v>3.2</v>
      </c>
      <c r="G33" s="6">
        <f>ROUND(AVERAGE('PERT Тимур'!G33,'PERT Леша'!G33,'PERT Ева'!G33,'PERT Адам'!G33,'PERT Дима'!G33), 4)</f>
        <v>5.2</v>
      </c>
      <c r="H33" s="6">
        <f t="shared" si="1"/>
        <v>3.27</v>
      </c>
      <c r="I33" s="6">
        <f t="shared" si="2"/>
        <v>0.36</v>
      </c>
    </row>
    <row r="34">
      <c r="A34" s="4">
        <v>45752.0</v>
      </c>
      <c r="B34" s="5" t="s">
        <v>55</v>
      </c>
      <c r="C34" s="5" t="s">
        <v>60</v>
      </c>
      <c r="D34" s="5" t="s">
        <v>57</v>
      </c>
      <c r="E34" s="6">
        <f>ROUND(AVERAGE('PERT Тимур'!E34,'PERT Леша'!E34,'PERT Ева'!E34,'PERT Адам'!E34,'PERT Дима'!E34), 4)</f>
        <v>1</v>
      </c>
      <c r="F34" s="6">
        <f>ROUND(AVERAGE('PERT Тимур'!F34,'PERT Леша'!F34,'PERT Ева'!F34,'PERT Адам'!F34,'PERT Дима'!F34), 4)</f>
        <v>1.9</v>
      </c>
      <c r="G34" s="6">
        <f>ROUND(AVERAGE('PERT Тимур'!G34,'PERT Леша'!G34,'PERT Ева'!G34,'PERT Адам'!G34,'PERT Дима'!G34), 4)</f>
        <v>3.2</v>
      </c>
      <c r="H34" s="6">
        <f t="shared" si="1"/>
        <v>1.97</v>
      </c>
      <c r="I34" s="6">
        <f t="shared" si="2"/>
        <v>0.1344</v>
      </c>
    </row>
    <row r="35">
      <c r="A35" s="4">
        <v>45782.0</v>
      </c>
      <c r="B35" s="5" t="s">
        <v>55</v>
      </c>
      <c r="C35" s="5" t="s">
        <v>61</v>
      </c>
      <c r="D35" s="5" t="s">
        <v>57</v>
      </c>
      <c r="E35" s="6">
        <f>ROUND(AVERAGE('PERT Тимур'!E35,'PERT Леша'!E35,'PERT Ева'!E35,'PERT Адам'!E35,'PERT Дима'!E35), 4)</f>
        <v>0.9</v>
      </c>
      <c r="F35" s="6">
        <f>ROUND(AVERAGE('PERT Тимур'!F35,'PERT Леша'!F35,'PERT Ева'!F35,'PERT Адам'!F35,'PERT Дима'!F35), 4)</f>
        <v>1.2</v>
      </c>
      <c r="G35" s="6">
        <f>ROUND(AVERAGE('PERT Тимур'!G35,'PERT Леша'!G35,'PERT Ева'!G35,'PERT Адам'!G35,'PERT Дима'!G35), 4)</f>
        <v>2.2</v>
      </c>
      <c r="H35" s="6">
        <f t="shared" si="1"/>
        <v>1.32</v>
      </c>
      <c r="I35" s="6">
        <f t="shared" si="2"/>
        <v>0.0469</v>
      </c>
    </row>
    <row r="36">
      <c r="A36" s="4">
        <v>45813.0</v>
      </c>
      <c r="B36" s="5" t="s">
        <v>55</v>
      </c>
      <c r="C36" s="5" t="s">
        <v>62</v>
      </c>
      <c r="D36" s="5" t="s">
        <v>57</v>
      </c>
      <c r="E36" s="6">
        <f>ROUND(AVERAGE('PERT Тимур'!E36,'PERT Леша'!E36,'PERT Ева'!E36,'PERT Адам'!E36,'PERT Дима'!E36), 4)</f>
        <v>2</v>
      </c>
      <c r="F36" s="6">
        <f>ROUND(AVERAGE('PERT Тимур'!F36,'PERT Леша'!F36,'PERT Ева'!F36,'PERT Адам'!F36,'PERT Дима'!F36), 4)</f>
        <v>3.7</v>
      </c>
      <c r="G36" s="6">
        <f>ROUND(AVERAGE('PERT Тимур'!G36,'PERT Леша'!G36,'PERT Ева'!G36,'PERT Адам'!G36,'PERT Дима'!G36), 4)</f>
        <v>6.2</v>
      </c>
      <c r="H36" s="6">
        <f t="shared" si="1"/>
        <v>3.83</v>
      </c>
      <c r="I36" s="6">
        <f t="shared" si="2"/>
        <v>0.49</v>
      </c>
    </row>
    <row r="37">
      <c r="A37" s="4">
        <v>45843.0</v>
      </c>
      <c r="B37" s="5" t="s">
        <v>55</v>
      </c>
      <c r="C37" s="5" t="s">
        <v>63</v>
      </c>
      <c r="D37" s="5" t="s">
        <v>57</v>
      </c>
      <c r="E37" s="6">
        <f>ROUND(AVERAGE('PERT Тимур'!E37,'PERT Леша'!E37,'PERT Ева'!E37,'PERT Адам'!E37,'PERT Дима'!E37), 4)</f>
        <v>1.1</v>
      </c>
      <c r="F37" s="6">
        <f>ROUND(AVERAGE('PERT Тимур'!F37,'PERT Леша'!F37,'PERT Ева'!F37,'PERT Адам'!F37,'PERT Дима'!F37), 4)</f>
        <v>1.9</v>
      </c>
      <c r="G37" s="6">
        <f>ROUND(AVERAGE('PERT Тимур'!G37,'PERT Леша'!G37,'PERT Ева'!G37,'PERT Адам'!G37,'PERT Дима'!G37), 4)</f>
        <v>3.3</v>
      </c>
      <c r="H37" s="6">
        <f t="shared" si="1"/>
        <v>2</v>
      </c>
      <c r="I37" s="6">
        <f t="shared" si="2"/>
        <v>0.1344</v>
      </c>
    </row>
    <row r="38">
      <c r="A38" s="4">
        <v>45874.0</v>
      </c>
      <c r="B38" s="5" t="s">
        <v>55</v>
      </c>
      <c r="C38" s="5" t="s">
        <v>64</v>
      </c>
      <c r="D38" s="5" t="s">
        <v>57</v>
      </c>
      <c r="E38" s="6">
        <f>ROUND(AVERAGE('PERT Тимур'!E38,'PERT Леша'!E38,'PERT Ева'!E38,'PERT Адам'!E38,'PERT Дима'!E38), 4)</f>
        <v>1.8</v>
      </c>
      <c r="F38" s="6">
        <f>ROUND(AVERAGE('PERT Тимур'!F38,'PERT Леша'!F38,'PERT Ева'!F38,'PERT Адам'!F38,'PERT Дима'!F38), 4)</f>
        <v>3.6</v>
      </c>
      <c r="G38" s="6">
        <f>ROUND(AVERAGE('PERT Тимур'!G38,'PERT Леша'!G38,'PERT Ева'!G38,'PERT Адам'!G38,'PERT Дима'!G38), 4)</f>
        <v>6.4</v>
      </c>
      <c r="H38" s="6">
        <f t="shared" si="1"/>
        <v>3.77</v>
      </c>
      <c r="I38" s="6">
        <f t="shared" si="2"/>
        <v>0.5878</v>
      </c>
    </row>
    <row r="39">
      <c r="A39" s="4">
        <v>45905.0</v>
      </c>
      <c r="B39" s="5" t="s">
        <v>55</v>
      </c>
      <c r="C39" s="5" t="s">
        <v>65</v>
      </c>
      <c r="D39" s="5" t="s">
        <v>57</v>
      </c>
      <c r="E39" s="6">
        <f>ROUND(AVERAGE('PERT Тимур'!E39,'PERT Леша'!E39,'PERT Ева'!E39,'PERT Адам'!E39,'PERT Дима'!E39), 4)</f>
        <v>1.3</v>
      </c>
      <c r="F39" s="6">
        <f>ROUND(AVERAGE('PERT Тимур'!F39,'PERT Леша'!F39,'PERT Ева'!F39,'PERT Адам'!F39,'PERT Дима'!F39), 4)</f>
        <v>3</v>
      </c>
      <c r="G39" s="6">
        <f>ROUND(AVERAGE('PERT Тимур'!G39,'PERT Леша'!G39,'PERT Ева'!G39,'PERT Адам'!G39,'PERT Дима'!G39), 4)</f>
        <v>6</v>
      </c>
      <c r="H39" s="6">
        <f t="shared" si="1"/>
        <v>3.22</v>
      </c>
      <c r="I39" s="6">
        <f t="shared" si="2"/>
        <v>0.6136</v>
      </c>
    </row>
    <row r="40">
      <c r="A40" s="4">
        <v>45935.0</v>
      </c>
      <c r="B40" s="5" t="s">
        <v>55</v>
      </c>
      <c r="C40" s="5" t="s">
        <v>66</v>
      </c>
      <c r="D40" s="5" t="s">
        <v>57</v>
      </c>
      <c r="E40" s="6">
        <f>ROUND(AVERAGE('PERT Тимур'!E40,'PERT Леша'!E40,'PERT Ева'!E40,'PERT Адам'!E40,'PERT Дима'!E40), 4)</f>
        <v>1.3</v>
      </c>
      <c r="F40" s="6">
        <f>ROUND(AVERAGE('PERT Тимур'!F40,'PERT Леша'!F40,'PERT Ева'!F40,'PERT Адам'!F40,'PERT Дима'!F40), 4)</f>
        <v>2.7</v>
      </c>
      <c r="G40" s="6">
        <f>ROUND(AVERAGE('PERT Тимур'!G40,'PERT Леша'!G40,'PERT Ева'!G40,'PERT Адам'!G40,'PERT Дима'!G40), 4)</f>
        <v>4.8</v>
      </c>
      <c r="H40" s="6">
        <f t="shared" si="1"/>
        <v>2.82</v>
      </c>
      <c r="I40" s="6">
        <f t="shared" si="2"/>
        <v>0.3403</v>
      </c>
    </row>
    <row r="41">
      <c r="A41" s="4">
        <v>45663.0</v>
      </c>
      <c r="B41" s="5" t="s">
        <v>67</v>
      </c>
      <c r="C41" s="5" t="s">
        <v>68</v>
      </c>
      <c r="D41" s="5" t="s">
        <v>69</v>
      </c>
      <c r="E41" s="6">
        <f>ROUND(AVERAGE('PERT Тимур'!E41,'PERT Леша'!E41,'PERT Ева'!E41,'PERT Адам'!E41,'PERT Дима'!E41), 4)</f>
        <v>0.9</v>
      </c>
      <c r="F41" s="6">
        <f>ROUND(AVERAGE('PERT Тимур'!F41,'PERT Леша'!F41,'PERT Ева'!F41,'PERT Адам'!F41,'PERT Дима'!F41), 4)</f>
        <v>1.7</v>
      </c>
      <c r="G41" s="6">
        <f>ROUND(AVERAGE('PERT Тимур'!G41,'PERT Леша'!G41,'PERT Ева'!G41,'PERT Адам'!G41,'PERT Дима'!G41), 4)</f>
        <v>2.8</v>
      </c>
      <c r="H41" s="6">
        <f t="shared" si="1"/>
        <v>1.75</v>
      </c>
      <c r="I41" s="6">
        <f t="shared" si="2"/>
        <v>0.1003</v>
      </c>
    </row>
    <row r="42">
      <c r="A42" s="4">
        <v>45694.0</v>
      </c>
      <c r="B42" s="5" t="s">
        <v>67</v>
      </c>
      <c r="C42" s="5" t="s">
        <v>70</v>
      </c>
      <c r="D42" s="5" t="s">
        <v>69</v>
      </c>
      <c r="E42" s="6">
        <f>ROUND(AVERAGE('PERT Тимур'!E42,'PERT Леша'!E42,'PERT Ева'!E42,'PERT Адам'!E42,'PERT Дима'!E42), 4)</f>
        <v>0.8</v>
      </c>
      <c r="F42" s="6">
        <f>ROUND(AVERAGE('PERT Тимур'!F42,'PERT Леша'!F42,'PERT Ева'!F42,'PERT Адам'!F42,'PERT Дима'!F42), 4)</f>
        <v>1.4</v>
      </c>
      <c r="G42" s="6">
        <f>ROUND(AVERAGE('PERT Тимур'!G42,'PERT Леша'!G42,'PERT Ева'!G42,'PERT Адам'!G42,'PERT Дима'!G42), 4)</f>
        <v>2.4</v>
      </c>
      <c r="H42" s="6">
        <f t="shared" si="1"/>
        <v>1.47</v>
      </c>
      <c r="I42" s="6">
        <f t="shared" si="2"/>
        <v>0.0711</v>
      </c>
    </row>
    <row r="43">
      <c r="A43" s="4">
        <v>45722.0</v>
      </c>
      <c r="B43" s="5" t="s">
        <v>67</v>
      </c>
      <c r="C43" s="5" t="s">
        <v>71</v>
      </c>
      <c r="D43" s="5" t="s">
        <v>69</v>
      </c>
      <c r="E43" s="6">
        <f>ROUND(AVERAGE('PERT Тимур'!E43,'PERT Леша'!E43,'PERT Ева'!E43,'PERT Адам'!E43,'PERT Дима'!E43), 4)</f>
        <v>1.2</v>
      </c>
      <c r="F43" s="6">
        <f>ROUND(AVERAGE('PERT Тимур'!F43,'PERT Леша'!F43,'PERT Ева'!F43,'PERT Адам'!F43,'PERT Дима'!F43), 4)</f>
        <v>2.3</v>
      </c>
      <c r="G43" s="6">
        <f>ROUND(AVERAGE('PERT Тимур'!G43,'PERT Леша'!G43,'PERT Ева'!G43,'PERT Адам'!G43,'PERT Дима'!G43), 4)</f>
        <v>4</v>
      </c>
      <c r="H43" s="6">
        <f t="shared" si="1"/>
        <v>2.4</v>
      </c>
      <c r="I43" s="6">
        <f t="shared" si="2"/>
        <v>0.2178</v>
      </c>
    </row>
    <row r="44">
      <c r="A44" s="4">
        <v>45753.0</v>
      </c>
      <c r="B44" s="5" t="s">
        <v>67</v>
      </c>
      <c r="C44" s="5" t="s">
        <v>72</v>
      </c>
      <c r="D44" s="5" t="s">
        <v>69</v>
      </c>
      <c r="E44" s="6">
        <f>ROUND(AVERAGE('PERT Тимур'!E44,'PERT Леша'!E44,'PERT Ева'!E44,'PERT Адам'!E44,'PERT Дима'!E44), 4)</f>
        <v>1.2</v>
      </c>
      <c r="F44" s="6">
        <f>ROUND(AVERAGE('PERT Тимур'!F44,'PERT Леша'!F44,'PERT Ева'!F44,'PERT Адам'!F44,'PERT Дима'!F44), 4)</f>
        <v>2.4</v>
      </c>
      <c r="G44" s="6">
        <f>ROUND(AVERAGE('PERT Тимур'!G44,'PERT Леша'!G44,'PERT Ева'!G44,'PERT Адам'!G44,'PERT Дима'!G44), 4)</f>
        <v>4.3</v>
      </c>
      <c r="H44" s="6">
        <f t="shared" si="1"/>
        <v>2.52</v>
      </c>
      <c r="I44" s="6">
        <f t="shared" si="2"/>
        <v>0.2669</v>
      </c>
    </row>
    <row r="45">
      <c r="A45" s="4">
        <v>45783.0</v>
      </c>
      <c r="B45" s="5" t="s">
        <v>67</v>
      </c>
      <c r="C45" s="5" t="s">
        <v>73</v>
      </c>
      <c r="D45" s="5" t="s">
        <v>69</v>
      </c>
      <c r="E45" s="6">
        <f>ROUND(AVERAGE('PERT Тимур'!E45,'PERT Леша'!E45,'PERT Ева'!E45,'PERT Адам'!E45,'PERT Дима'!E45), 4)</f>
        <v>0.9</v>
      </c>
      <c r="F45" s="6">
        <f>ROUND(AVERAGE('PERT Тимур'!F45,'PERT Леша'!F45,'PERT Ева'!F45,'PERT Адам'!F45,'PERT Дима'!F45), 4)</f>
        <v>1.9</v>
      </c>
      <c r="G45" s="6">
        <f>ROUND(AVERAGE('PERT Тимур'!G45,'PERT Леша'!G45,'PERT Ева'!G45,'PERT Адам'!G45,'PERT Дима'!G45), 4)</f>
        <v>3.4</v>
      </c>
      <c r="H45" s="6">
        <f t="shared" si="1"/>
        <v>1.98</v>
      </c>
      <c r="I45" s="6">
        <f t="shared" si="2"/>
        <v>0.1736</v>
      </c>
    </row>
    <row r="46">
      <c r="A46" s="4">
        <v>45814.0</v>
      </c>
      <c r="B46" s="5" t="s">
        <v>67</v>
      </c>
      <c r="C46" s="5" t="s">
        <v>74</v>
      </c>
      <c r="D46" s="5" t="s">
        <v>69</v>
      </c>
      <c r="E46" s="6">
        <f>ROUND(AVERAGE('PERT Тимур'!E46,'PERT Леша'!E46,'PERT Ева'!E46,'PERT Адам'!E46,'PERT Дима'!E46), 4)</f>
        <v>1</v>
      </c>
      <c r="F46" s="6">
        <f>ROUND(AVERAGE('PERT Тимур'!F46,'PERT Леша'!F46,'PERT Ева'!F46,'PERT Адам'!F46,'PERT Дима'!F46), 4)</f>
        <v>2.1</v>
      </c>
      <c r="G46" s="6">
        <f>ROUND(AVERAGE('PERT Тимур'!G46,'PERT Леша'!G46,'PERT Ева'!G46,'PERT Адам'!G46,'PERT Дима'!G46), 4)</f>
        <v>3.6</v>
      </c>
      <c r="H46" s="6">
        <f t="shared" si="1"/>
        <v>2.17</v>
      </c>
      <c r="I46" s="6">
        <f t="shared" si="2"/>
        <v>0.1878</v>
      </c>
    </row>
    <row r="47">
      <c r="A47" s="4">
        <v>45844.0</v>
      </c>
      <c r="B47" s="5" t="s">
        <v>67</v>
      </c>
      <c r="C47" s="5" t="s">
        <v>75</v>
      </c>
      <c r="D47" s="5" t="s">
        <v>69</v>
      </c>
      <c r="E47" s="6">
        <f>ROUND(AVERAGE('PERT Тимур'!E47,'PERT Леша'!E47,'PERT Ева'!E47,'PERT Адам'!E47,'PERT Дима'!E47), 4)</f>
        <v>0.8</v>
      </c>
      <c r="F47" s="6">
        <f>ROUND(AVERAGE('PERT Тимур'!F47,'PERT Леша'!F47,'PERT Ева'!F47,'PERT Адам'!F47,'PERT Дима'!F47), 4)</f>
        <v>1.7</v>
      </c>
      <c r="G47" s="6">
        <f>ROUND(AVERAGE('PERT Тимур'!G47,'PERT Леша'!G47,'PERT Ева'!G47,'PERT Адам'!G47,'PERT Дима'!G47), 4)</f>
        <v>3.2</v>
      </c>
      <c r="H47" s="6">
        <f t="shared" si="1"/>
        <v>1.8</v>
      </c>
      <c r="I47" s="6">
        <f t="shared" si="2"/>
        <v>0.16</v>
      </c>
    </row>
    <row r="48">
      <c r="A48" s="4">
        <v>45875.0</v>
      </c>
      <c r="B48" s="5" t="s">
        <v>67</v>
      </c>
      <c r="C48" s="5" t="s">
        <v>76</v>
      </c>
      <c r="D48" s="5" t="s">
        <v>69</v>
      </c>
      <c r="E48" s="6">
        <f>ROUND(AVERAGE('PERT Тимур'!E48,'PERT Леша'!E48,'PERT Ева'!E48,'PERT Адам'!E48,'PERT Дима'!E48), 4)</f>
        <v>0.9</v>
      </c>
      <c r="F48" s="6">
        <f>ROUND(AVERAGE('PERT Тимур'!F48,'PERT Леша'!F48,'PERT Ева'!F48,'PERT Адам'!F48,'PERT Дима'!F48), 4)</f>
        <v>1.9</v>
      </c>
      <c r="G48" s="6">
        <f>ROUND(AVERAGE('PERT Тимур'!G48,'PERT Леша'!G48,'PERT Ева'!G48,'PERT Адам'!G48,'PERT Дима'!G48), 4)</f>
        <v>3.4</v>
      </c>
      <c r="H48" s="6">
        <f t="shared" si="1"/>
        <v>1.98</v>
      </c>
      <c r="I48" s="6">
        <f t="shared" si="2"/>
        <v>0.1736</v>
      </c>
    </row>
    <row r="49">
      <c r="A49" s="4">
        <v>45906.0</v>
      </c>
      <c r="B49" s="5" t="s">
        <v>67</v>
      </c>
      <c r="C49" s="5" t="s">
        <v>77</v>
      </c>
      <c r="D49" s="5" t="s">
        <v>69</v>
      </c>
      <c r="E49" s="6">
        <f>ROUND(AVERAGE('PERT Тимур'!E49,'PERT Леша'!E49,'PERT Ева'!E49,'PERT Адам'!E49,'PERT Дима'!E49), 4)</f>
        <v>1</v>
      </c>
      <c r="F49" s="6">
        <f>ROUND(AVERAGE('PERT Тимур'!F49,'PERT Леша'!F49,'PERT Ева'!F49,'PERT Адам'!F49,'PERT Дима'!F49), 4)</f>
        <v>2</v>
      </c>
      <c r="G49" s="6">
        <f>ROUND(AVERAGE('PERT Тимур'!G49,'PERT Леша'!G49,'PERT Ева'!G49,'PERT Адам'!G49,'PERT Дима'!G49), 4)</f>
        <v>3.5</v>
      </c>
      <c r="H49" s="6">
        <f t="shared" si="1"/>
        <v>2.08</v>
      </c>
      <c r="I49" s="6">
        <f t="shared" si="2"/>
        <v>0.1736</v>
      </c>
    </row>
    <row r="50">
      <c r="A50" s="4">
        <v>45936.0</v>
      </c>
      <c r="B50" s="5" t="s">
        <v>67</v>
      </c>
      <c r="C50" s="5" t="s">
        <v>78</v>
      </c>
      <c r="D50" s="5" t="s">
        <v>69</v>
      </c>
      <c r="E50" s="6">
        <f>ROUND(AVERAGE('PERT Тимур'!E50,'PERT Леша'!E50,'PERT Ева'!E50,'PERT Адам'!E50,'PERT Дима'!E50), 4)</f>
        <v>0.7</v>
      </c>
      <c r="F50" s="6">
        <f>ROUND(AVERAGE('PERT Тимур'!F50,'PERT Леша'!F50,'PERT Ева'!F50,'PERT Адам'!F50,'PERT Дима'!F50), 4)</f>
        <v>1.6</v>
      </c>
      <c r="G50" s="6">
        <f>ROUND(AVERAGE('PERT Тимур'!G50,'PERT Леша'!G50,'PERT Ева'!G50,'PERT Адам'!G50,'PERT Дима'!G50), 4)</f>
        <v>3</v>
      </c>
      <c r="H50" s="6">
        <f t="shared" si="1"/>
        <v>1.68</v>
      </c>
      <c r="I50" s="6">
        <f t="shared" si="2"/>
        <v>0.1469</v>
      </c>
    </row>
    <row r="51">
      <c r="A51" s="4">
        <v>45967.0</v>
      </c>
      <c r="B51" s="5" t="s">
        <v>67</v>
      </c>
      <c r="C51" s="5" t="s">
        <v>79</v>
      </c>
      <c r="D51" s="5" t="s">
        <v>69</v>
      </c>
      <c r="E51" s="6">
        <f>ROUND(AVERAGE('PERT Тимур'!E51,'PERT Леша'!E51,'PERT Ева'!E51,'PERT Адам'!E51,'PERT Дима'!E51), 4)</f>
        <v>0.8</v>
      </c>
      <c r="F51" s="6">
        <f>ROUND(AVERAGE('PERT Тимур'!F51,'PERT Леша'!F51,'PERT Ева'!F51,'PERT Адам'!F51,'PERT Дима'!F51), 4)</f>
        <v>1.5</v>
      </c>
      <c r="G51" s="6">
        <f>ROUND(AVERAGE('PERT Тимур'!G51,'PERT Леша'!G51,'PERT Ева'!G51,'PERT Адам'!G51,'PERT Дима'!G51), 4)</f>
        <v>2.6</v>
      </c>
      <c r="H51" s="6">
        <f t="shared" si="1"/>
        <v>1.57</v>
      </c>
      <c r="I51" s="6">
        <f t="shared" si="2"/>
        <v>0.09</v>
      </c>
    </row>
    <row r="52">
      <c r="A52" s="4">
        <v>45664.0</v>
      </c>
      <c r="B52" s="5" t="s">
        <v>80</v>
      </c>
      <c r="C52" s="5" t="s">
        <v>81</v>
      </c>
      <c r="D52" s="5" t="s">
        <v>82</v>
      </c>
      <c r="E52" s="6">
        <f>ROUND(AVERAGE('PERT Тимур'!E52,'PERT Леша'!E52,'PERT Ева'!E52,'PERT Адам'!E52,'PERT Дима'!E52), 4)</f>
        <v>0.7</v>
      </c>
      <c r="F52" s="6">
        <f>ROUND(AVERAGE('PERT Тимур'!F52,'PERT Леша'!F52,'PERT Ева'!F52,'PERT Адам'!F52,'PERT Дима'!F52), 4)</f>
        <v>1.2</v>
      </c>
      <c r="G52" s="6">
        <f>ROUND(AVERAGE('PERT Тимур'!G52,'PERT Леша'!G52,'PERT Ева'!G52,'PERT Адам'!G52,'PERT Дима'!G52), 4)</f>
        <v>2.2</v>
      </c>
      <c r="H52" s="6">
        <f t="shared" si="1"/>
        <v>1.28</v>
      </c>
      <c r="I52" s="6">
        <f t="shared" si="2"/>
        <v>0.0625</v>
      </c>
    </row>
    <row r="53">
      <c r="A53" s="4">
        <v>45695.0</v>
      </c>
      <c r="B53" s="5" t="s">
        <v>80</v>
      </c>
      <c r="C53" s="5" t="s">
        <v>83</v>
      </c>
      <c r="D53" s="5" t="s">
        <v>82</v>
      </c>
      <c r="E53" s="6">
        <f>ROUND(AVERAGE('PERT Тимур'!E53,'PERT Леша'!E53,'PERT Ева'!E53,'PERT Адам'!E53,'PERT Дима'!E53), 4)</f>
        <v>0.7</v>
      </c>
      <c r="F53" s="6">
        <f>ROUND(AVERAGE('PERT Тимур'!F53,'PERT Леша'!F53,'PERT Ева'!F53,'PERT Адам'!F53,'PERT Дима'!F53), 4)</f>
        <v>1.4</v>
      </c>
      <c r="G53" s="6">
        <f>ROUND(AVERAGE('PERT Тимур'!G53,'PERT Леша'!G53,'PERT Ева'!G53,'PERT Адам'!G53,'PERT Дима'!G53), 4)</f>
        <v>2.7</v>
      </c>
      <c r="H53" s="6">
        <f t="shared" si="1"/>
        <v>1.5</v>
      </c>
      <c r="I53" s="6">
        <f t="shared" si="2"/>
        <v>0.1111</v>
      </c>
    </row>
    <row r="54">
      <c r="A54" s="4">
        <v>45723.0</v>
      </c>
      <c r="B54" s="5" t="s">
        <v>80</v>
      </c>
      <c r="C54" s="5" t="s">
        <v>84</v>
      </c>
      <c r="D54" s="5" t="s">
        <v>82</v>
      </c>
      <c r="E54" s="6">
        <f>ROUND(AVERAGE('PERT Тимур'!E54,'PERT Леша'!E54,'PERT Ева'!E54,'PERT Адам'!E54,'PERT Дима'!E54), 4)</f>
        <v>0.6</v>
      </c>
      <c r="F54" s="6">
        <f>ROUND(AVERAGE('PERT Тимур'!F54,'PERT Леша'!F54,'PERT Ева'!F54,'PERT Адам'!F54,'PERT Дима'!F54), 4)</f>
        <v>1.1</v>
      </c>
      <c r="G54" s="6">
        <f>ROUND(AVERAGE('PERT Тимур'!G54,'PERT Леша'!G54,'PERT Ева'!G54,'PERT Адам'!G54,'PERT Дима'!G54), 4)</f>
        <v>1.9</v>
      </c>
      <c r="H54" s="6">
        <f t="shared" si="1"/>
        <v>1.15</v>
      </c>
      <c r="I54" s="6">
        <f t="shared" si="2"/>
        <v>0.0469</v>
      </c>
    </row>
    <row r="55">
      <c r="A55" s="4">
        <v>45754.0</v>
      </c>
      <c r="B55" s="5" t="s">
        <v>80</v>
      </c>
      <c r="C55" s="5" t="s">
        <v>85</v>
      </c>
      <c r="D55" s="5" t="s">
        <v>82</v>
      </c>
      <c r="E55" s="6">
        <f>ROUND(AVERAGE('PERT Тимур'!E55,'PERT Леша'!E55,'PERT Ева'!E55,'PERT Адам'!E55,'PERT Дима'!E55), 4)</f>
        <v>0.9</v>
      </c>
      <c r="F55" s="6">
        <f>ROUND(AVERAGE('PERT Тимур'!F55,'PERT Леша'!F55,'PERT Ева'!F55,'PERT Адам'!F55,'PERT Дима'!F55), 4)</f>
        <v>1.9</v>
      </c>
      <c r="G55" s="6">
        <f>ROUND(AVERAGE('PERT Тимур'!G55,'PERT Леша'!G55,'PERT Ева'!G55,'PERT Адам'!G55,'PERT Дима'!G55), 4)</f>
        <v>3.2</v>
      </c>
      <c r="H55" s="6">
        <f t="shared" si="1"/>
        <v>1.95</v>
      </c>
      <c r="I55" s="6">
        <f t="shared" si="2"/>
        <v>0.1469</v>
      </c>
    </row>
    <row r="56">
      <c r="A56" s="4">
        <v>45784.0</v>
      </c>
      <c r="B56" s="5" t="s">
        <v>80</v>
      </c>
      <c r="C56" s="5" t="s">
        <v>86</v>
      </c>
      <c r="D56" s="5" t="s">
        <v>82</v>
      </c>
      <c r="E56" s="6">
        <f>ROUND(AVERAGE('PERT Тимур'!E56,'PERT Леша'!E56,'PERT Ева'!E56,'PERT Адам'!E56,'PERT Дима'!E56), 4)</f>
        <v>0.6</v>
      </c>
      <c r="F56" s="6">
        <f>ROUND(AVERAGE('PERT Тимур'!F56,'PERT Леша'!F56,'PERT Ева'!F56,'PERT Адам'!F56,'PERT Дима'!F56), 4)</f>
        <v>1.2</v>
      </c>
      <c r="G56" s="6">
        <f>ROUND(AVERAGE('PERT Тимур'!G56,'PERT Леша'!G56,'PERT Ева'!G56,'PERT Адам'!G56,'PERT Дима'!G56), 4)</f>
        <v>2.3</v>
      </c>
      <c r="H56" s="6">
        <f t="shared" si="1"/>
        <v>1.28</v>
      </c>
      <c r="I56" s="6">
        <f t="shared" si="2"/>
        <v>0.0803</v>
      </c>
    </row>
    <row r="57">
      <c r="A57" s="4">
        <v>45815.0</v>
      </c>
      <c r="B57" s="5" t="s">
        <v>80</v>
      </c>
      <c r="C57" s="5" t="s">
        <v>87</v>
      </c>
      <c r="D57" s="5" t="s">
        <v>82</v>
      </c>
      <c r="E57" s="6">
        <f>ROUND(AVERAGE('PERT Тимур'!E57,'PERT Леша'!E57,'PERT Ева'!E57,'PERT Адам'!E57,'PERT Дима'!E57), 4)</f>
        <v>0.6</v>
      </c>
      <c r="F57" s="6">
        <f>ROUND(AVERAGE('PERT Тимур'!F57,'PERT Леша'!F57,'PERT Ева'!F57,'PERT Адам'!F57,'PERT Дима'!F57), 4)</f>
        <v>1.5</v>
      </c>
      <c r="G57" s="6">
        <f>ROUND(AVERAGE('PERT Тимур'!G57,'PERT Леша'!G57,'PERT Ева'!G57,'PERT Адам'!G57,'PERT Дима'!G57), 4)</f>
        <v>2.8</v>
      </c>
      <c r="H57" s="6">
        <f t="shared" si="1"/>
        <v>1.57</v>
      </c>
      <c r="I57" s="6">
        <f t="shared" si="2"/>
        <v>0.1344</v>
      </c>
    </row>
    <row r="58">
      <c r="A58" s="4">
        <v>45845.0</v>
      </c>
      <c r="B58" s="5" t="s">
        <v>80</v>
      </c>
      <c r="C58" s="5" t="s">
        <v>88</v>
      </c>
      <c r="D58" s="5" t="s">
        <v>82</v>
      </c>
      <c r="E58" s="6">
        <f>ROUND(AVERAGE('PERT Тимур'!E58,'PERT Леша'!E58,'PERT Ева'!E58,'PERT Адам'!E58,'PERT Дима'!E58), 4)</f>
        <v>0.6</v>
      </c>
      <c r="F58" s="6">
        <f>ROUND(AVERAGE('PERT Тимур'!F58,'PERT Леша'!F58,'PERT Ева'!F58,'PERT Адам'!F58,'PERT Дима'!F58), 4)</f>
        <v>1.2</v>
      </c>
      <c r="G58" s="6">
        <f>ROUND(AVERAGE('PERT Тимур'!G58,'PERT Леша'!G58,'PERT Ева'!G58,'PERT Адам'!G58,'PERT Дима'!G58), 4)</f>
        <v>2.3</v>
      </c>
      <c r="H58" s="6">
        <f t="shared" si="1"/>
        <v>1.28</v>
      </c>
      <c r="I58" s="6">
        <f t="shared" si="2"/>
        <v>0.0803</v>
      </c>
    </row>
    <row r="59">
      <c r="A59" s="4">
        <v>45876.0</v>
      </c>
      <c r="B59" s="5" t="s">
        <v>80</v>
      </c>
      <c r="C59" s="5" t="s">
        <v>89</v>
      </c>
      <c r="D59" s="5" t="s">
        <v>82</v>
      </c>
      <c r="E59" s="6">
        <f>ROUND(AVERAGE('PERT Тимур'!E59,'PERT Леша'!E59,'PERT Ева'!E59,'PERT Адам'!E59,'PERT Дима'!E59), 4)</f>
        <v>0.7</v>
      </c>
      <c r="F59" s="6">
        <f>ROUND(AVERAGE('PERT Тимур'!F59,'PERT Леша'!F59,'PERT Ева'!F59,'PERT Адам'!F59,'PERT Дима'!F59), 4)</f>
        <v>1.6</v>
      </c>
      <c r="G59" s="6">
        <f>ROUND(AVERAGE('PERT Тимур'!G59,'PERT Леша'!G59,'PERT Ева'!G59,'PERT Адам'!G59,'PERT Дима'!G59), 4)</f>
        <v>3.1</v>
      </c>
      <c r="H59" s="6">
        <f t="shared" si="1"/>
        <v>1.7</v>
      </c>
      <c r="I59" s="6">
        <f t="shared" si="2"/>
        <v>0.16</v>
      </c>
    </row>
    <row r="60">
      <c r="A60" s="4">
        <v>45907.0</v>
      </c>
      <c r="B60" s="5" t="s">
        <v>80</v>
      </c>
      <c r="C60" s="5" t="s">
        <v>90</v>
      </c>
      <c r="D60" s="5" t="s">
        <v>82</v>
      </c>
      <c r="E60" s="6">
        <f>ROUND(AVERAGE('PERT Тимур'!E60,'PERT Леша'!E60,'PERT Ева'!E60,'PERT Адам'!E60,'PERT Дима'!E60), 4)</f>
        <v>0.8</v>
      </c>
      <c r="F60" s="6">
        <f>ROUND(AVERAGE('PERT Тимур'!F60,'PERT Леша'!F60,'PERT Ева'!F60,'PERT Адам'!F60,'PERT Дима'!F60), 4)</f>
        <v>1.8</v>
      </c>
      <c r="G60" s="6">
        <f>ROUND(AVERAGE('PERT Тимур'!G60,'PERT Леша'!G60,'PERT Ева'!G60,'PERT Адам'!G60,'PERT Дима'!G60), 4)</f>
        <v>3.3</v>
      </c>
      <c r="H60" s="6">
        <f t="shared" si="1"/>
        <v>1.88</v>
      </c>
      <c r="I60" s="6">
        <f t="shared" si="2"/>
        <v>0.1736</v>
      </c>
    </row>
    <row r="61">
      <c r="A61" s="4">
        <v>45937.0</v>
      </c>
      <c r="B61" s="5" t="s">
        <v>80</v>
      </c>
      <c r="C61" s="5" t="s">
        <v>91</v>
      </c>
      <c r="D61" s="5" t="s">
        <v>82</v>
      </c>
      <c r="E61" s="6">
        <f>ROUND(AVERAGE('PERT Тимур'!E61,'PERT Леша'!E61,'PERT Ева'!E61,'PERT Адам'!E61,'PERT Дима'!E61), 4)</f>
        <v>0.6</v>
      </c>
      <c r="F61" s="6">
        <f>ROUND(AVERAGE('PERT Тимур'!F61,'PERT Леша'!F61,'PERT Ева'!F61,'PERT Адам'!F61,'PERT Дима'!F61), 4)</f>
        <v>1.1</v>
      </c>
      <c r="G61" s="6">
        <f>ROUND(AVERAGE('PERT Тимур'!G61,'PERT Леша'!G61,'PERT Ева'!G61,'PERT Адам'!G61,'PERT Дима'!G61), 4)</f>
        <v>2.1</v>
      </c>
      <c r="H61" s="6">
        <f t="shared" si="1"/>
        <v>1.18</v>
      </c>
      <c r="I61" s="6">
        <f t="shared" si="2"/>
        <v>0.0625</v>
      </c>
    </row>
    <row r="62">
      <c r="A62" s="4">
        <v>45968.0</v>
      </c>
      <c r="B62" s="5" t="s">
        <v>80</v>
      </c>
      <c r="C62" s="5" t="s">
        <v>92</v>
      </c>
      <c r="D62" s="5" t="s">
        <v>82</v>
      </c>
      <c r="E62" s="6">
        <f>ROUND(AVERAGE('PERT Тимур'!E62,'PERT Леша'!E62,'PERT Ева'!E62,'PERT Адам'!E62,'PERT Дима'!E62), 4)</f>
        <v>0.7</v>
      </c>
      <c r="F62" s="6">
        <f>ROUND(AVERAGE('PERT Тимур'!F62,'PERT Леша'!F62,'PERT Ева'!F62,'PERT Адам'!F62,'PERT Дима'!F62), 4)</f>
        <v>1.6</v>
      </c>
      <c r="G62" s="6">
        <f>ROUND(AVERAGE('PERT Тимур'!G62,'PERT Леша'!G62,'PERT Ева'!G62,'PERT Адам'!G62,'PERT Дима'!G62), 4)</f>
        <v>2.7</v>
      </c>
      <c r="H62" s="6">
        <f t="shared" si="1"/>
        <v>1.63</v>
      </c>
      <c r="I62" s="6">
        <f t="shared" si="2"/>
        <v>0.1111</v>
      </c>
    </row>
    <row r="63">
      <c r="A63" s="4">
        <v>45665.0</v>
      </c>
      <c r="B63" s="5" t="s">
        <v>93</v>
      </c>
      <c r="C63" s="5" t="s">
        <v>94</v>
      </c>
      <c r="D63" s="5" t="s">
        <v>95</v>
      </c>
      <c r="E63" s="6">
        <f>ROUND(AVERAGE('PERT Тимур'!E63,'PERT Леша'!E63,'PERT Ева'!E63,'PERT Адам'!E63,'PERT Дима'!E63), 4)</f>
        <v>0.8</v>
      </c>
      <c r="F63" s="6">
        <f>ROUND(AVERAGE('PERT Тимур'!F63,'PERT Леша'!F63,'PERT Ева'!F63,'PERT Адам'!F63,'PERT Дима'!F63), 4)</f>
        <v>1.6</v>
      </c>
      <c r="G63" s="6">
        <f>ROUND(AVERAGE('PERT Тимур'!G63,'PERT Леша'!G63,'PERT Ева'!G63,'PERT Адам'!G63,'PERT Дима'!G63), 4)</f>
        <v>2.6</v>
      </c>
      <c r="H63" s="6">
        <f t="shared" si="1"/>
        <v>1.63</v>
      </c>
      <c r="I63" s="6">
        <f t="shared" si="2"/>
        <v>0.09</v>
      </c>
    </row>
    <row r="64">
      <c r="A64" s="4">
        <v>45696.0</v>
      </c>
      <c r="B64" s="5" t="s">
        <v>93</v>
      </c>
      <c r="C64" s="5" t="s">
        <v>96</v>
      </c>
      <c r="D64" s="5" t="s">
        <v>95</v>
      </c>
      <c r="E64" s="6">
        <f>ROUND(AVERAGE('PERT Тимур'!E64,'PERT Леша'!E64,'PERT Ева'!E64,'PERT Адам'!E64,'PERT Дима'!E64), 4)</f>
        <v>0.9</v>
      </c>
      <c r="F64" s="6">
        <f>ROUND(AVERAGE('PERT Тимур'!F64,'PERT Леша'!F64,'PERT Ева'!F64,'PERT Адам'!F64,'PERT Дима'!F64), 4)</f>
        <v>2.3</v>
      </c>
      <c r="G64" s="6">
        <f>ROUND(AVERAGE('PERT Тимур'!G64,'PERT Леша'!G64,'PERT Ева'!G64,'PERT Адам'!G64,'PERT Дима'!G64), 4)</f>
        <v>4</v>
      </c>
      <c r="H64" s="6">
        <f t="shared" si="1"/>
        <v>2.35</v>
      </c>
      <c r="I64" s="6">
        <f t="shared" si="2"/>
        <v>0.2669</v>
      </c>
    </row>
    <row r="65">
      <c r="A65" s="4">
        <v>45724.0</v>
      </c>
      <c r="B65" s="5" t="s">
        <v>93</v>
      </c>
      <c r="C65" s="5" t="s">
        <v>97</v>
      </c>
      <c r="D65" s="5" t="s">
        <v>95</v>
      </c>
      <c r="E65" s="6">
        <f>ROUND(AVERAGE('PERT Тимур'!E65,'PERT Леша'!E65,'PERT Ева'!E65,'PERT Адам'!E65,'PERT Дима'!E65), 4)</f>
        <v>1.2</v>
      </c>
      <c r="F65" s="6">
        <f>ROUND(AVERAGE('PERT Тимур'!F65,'PERT Леша'!F65,'PERT Ева'!F65,'PERT Адам'!F65,'PERT Дима'!F65), 4)</f>
        <v>2.6</v>
      </c>
      <c r="G65" s="6">
        <f>ROUND(AVERAGE('PERT Тимур'!G65,'PERT Леша'!G65,'PERT Ева'!G65,'PERT Адам'!G65,'PERT Дима'!G65), 4)</f>
        <v>4.5</v>
      </c>
      <c r="H65" s="6">
        <f t="shared" si="1"/>
        <v>2.68</v>
      </c>
      <c r="I65" s="6">
        <f t="shared" si="2"/>
        <v>0.3025</v>
      </c>
    </row>
    <row r="66">
      <c r="A66" s="4">
        <v>45755.0</v>
      </c>
      <c r="B66" s="5" t="s">
        <v>93</v>
      </c>
      <c r="C66" s="5" t="s">
        <v>98</v>
      </c>
      <c r="D66" s="5" t="s">
        <v>95</v>
      </c>
      <c r="E66" s="6">
        <f>ROUND(AVERAGE('PERT Тимур'!E66,'PERT Леша'!E66,'PERT Ева'!E66,'PERT Адам'!E66,'PERT Дима'!E66), 4)</f>
        <v>1.1</v>
      </c>
      <c r="F66" s="6">
        <f>ROUND(AVERAGE('PERT Тимур'!F66,'PERT Леша'!F66,'PERT Ева'!F66,'PERT Адам'!F66,'PERT Дима'!F66), 4)</f>
        <v>2.5</v>
      </c>
      <c r="G66" s="6">
        <f>ROUND(AVERAGE('PERT Тимур'!G66,'PERT Леша'!G66,'PERT Ева'!G66,'PERT Адам'!G66,'PERT Дима'!G66), 4)</f>
        <v>4.4</v>
      </c>
      <c r="H66" s="6">
        <f t="shared" si="1"/>
        <v>2.58</v>
      </c>
      <c r="I66" s="6">
        <f t="shared" si="2"/>
        <v>0.3025</v>
      </c>
    </row>
    <row r="67">
      <c r="A67" s="4">
        <v>45785.0</v>
      </c>
      <c r="B67" s="5" t="s">
        <v>93</v>
      </c>
      <c r="C67" s="5" t="s">
        <v>99</v>
      </c>
      <c r="D67" s="5" t="s">
        <v>95</v>
      </c>
      <c r="E67" s="6">
        <f>ROUND(AVERAGE('PERT Тимур'!E67,'PERT Леша'!E67,'PERT Ева'!E67,'PERT Адам'!E67,'PERT Дима'!E67), 4)</f>
        <v>1.5</v>
      </c>
      <c r="F67" s="6">
        <f>ROUND(AVERAGE('PERT Тимур'!F67,'PERT Леша'!F67,'PERT Ева'!F67,'PERT Адам'!F67,'PERT Дима'!F67), 4)</f>
        <v>3</v>
      </c>
      <c r="G67" s="6">
        <f>ROUND(AVERAGE('PERT Тимур'!G67,'PERT Леша'!G67,'PERT Ева'!G67,'PERT Адам'!G67,'PERT Дима'!G67), 4)</f>
        <v>5.3</v>
      </c>
      <c r="H67" s="6">
        <f t="shared" si="1"/>
        <v>3.13</v>
      </c>
      <c r="I67" s="6">
        <f t="shared" si="2"/>
        <v>0.4011</v>
      </c>
    </row>
    <row r="68">
      <c r="A68" s="4">
        <v>45816.0</v>
      </c>
      <c r="B68" s="5" t="s">
        <v>93</v>
      </c>
      <c r="C68" s="5" t="s">
        <v>100</v>
      </c>
      <c r="D68" s="5" t="s">
        <v>51</v>
      </c>
      <c r="E68" s="6">
        <f>ROUND(AVERAGE('PERT Тимур'!E68,'PERT Леша'!E68,'PERT Ева'!E68,'PERT Адам'!E68,'PERT Дима'!E68), 4)</f>
        <v>0.8</v>
      </c>
      <c r="F68" s="6">
        <f>ROUND(AVERAGE('PERT Тимур'!F68,'PERT Леша'!F68,'PERT Ева'!F68,'PERT Адам'!F68,'PERT Дима'!F68), 4)</f>
        <v>1.7</v>
      </c>
      <c r="G68" s="6">
        <f>ROUND(AVERAGE('PERT Тимур'!G68,'PERT Леша'!G68,'PERT Ева'!G68,'PERT Адам'!G68,'PERT Дима'!G68), 4)</f>
        <v>2.9</v>
      </c>
      <c r="H68" s="6">
        <f t="shared" si="1"/>
        <v>1.75</v>
      </c>
      <c r="I68" s="6">
        <f t="shared" si="2"/>
        <v>0.1225</v>
      </c>
    </row>
    <row r="69">
      <c r="A69" s="4">
        <v>45846.0</v>
      </c>
      <c r="B69" s="5" t="s">
        <v>93</v>
      </c>
      <c r="C69" s="5" t="s">
        <v>101</v>
      </c>
      <c r="D69" s="5" t="s">
        <v>102</v>
      </c>
      <c r="E69" s="6">
        <f>ROUND(AVERAGE('PERT Тимур'!E69,'PERT Леша'!E69,'PERT Ева'!E69,'PERT Адам'!E69,'PERT Дима'!E69), 4)</f>
        <v>0.9</v>
      </c>
      <c r="F69" s="6">
        <f>ROUND(AVERAGE('PERT Тимур'!F69,'PERT Леша'!F69,'PERT Ева'!F69,'PERT Адам'!F69,'PERT Дима'!F69), 4)</f>
        <v>1.7</v>
      </c>
      <c r="G69" s="6">
        <f>ROUND(AVERAGE('PERT Тимур'!G69,'PERT Леша'!G69,'PERT Ева'!G69,'PERT Адам'!G69,'PERT Дима'!G69), 4)</f>
        <v>2.8</v>
      </c>
      <c r="H69" s="6">
        <f t="shared" si="1"/>
        <v>1.75</v>
      </c>
      <c r="I69" s="6">
        <f t="shared" si="2"/>
        <v>0.1003</v>
      </c>
    </row>
    <row r="70">
      <c r="A70" s="4">
        <v>45877.0</v>
      </c>
      <c r="B70" s="5" t="s">
        <v>93</v>
      </c>
      <c r="C70" s="5" t="s">
        <v>103</v>
      </c>
      <c r="D70" s="5" t="s">
        <v>102</v>
      </c>
      <c r="E70" s="6">
        <f>ROUND(AVERAGE('PERT Тимур'!E70,'PERT Леша'!E70,'PERT Ева'!E70,'PERT Адам'!E70,'PERT Дима'!E70), 4)</f>
        <v>0.7</v>
      </c>
      <c r="F70" s="6">
        <f>ROUND(AVERAGE('PERT Тимур'!F70,'PERT Леша'!F70,'PERT Ева'!F70,'PERT Адам'!F70,'PERT Дима'!F70), 4)</f>
        <v>1.3</v>
      </c>
      <c r="G70" s="6">
        <f>ROUND(AVERAGE('PERT Тимур'!G70,'PERT Леша'!G70,'PERT Ева'!G70,'PERT Адам'!G70,'PERT Дима'!G70), 4)</f>
        <v>2.3</v>
      </c>
      <c r="H70" s="6">
        <f t="shared" si="1"/>
        <v>1.37</v>
      </c>
      <c r="I70" s="6">
        <f t="shared" si="2"/>
        <v>0.0711</v>
      </c>
    </row>
    <row r="71">
      <c r="A71" s="4">
        <v>45908.0</v>
      </c>
      <c r="B71" s="5" t="s">
        <v>93</v>
      </c>
      <c r="C71" s="5" t="s">
        <v>104</v>
      </c>
      <c r="D71" s="5" t="s">
        <v>12</v>
      </c>
      <c r="E71" s="6">
        <f>ROUND(AVERAGE('PERT Тимур'!E71,'PERT Леша'!E71,'PERT Ева'!E71,'PERT Адам'!E71,'PERT Дима'!E71), 4)</f>
        <v>0.8</v>
      </c>
      <c r="F71" s="6">
        <f>ROUND(AVERAGE('PERT Тимур'!F71,'PERT Леша'!F71,'PERT Ева'!F71,'PERT Адам'!F71,'PERT Дима'!F71), 4)</f>
        <v>1.3</v>
      </c>
      <c r="G71" s="6">
        <f>ROUND(AVERAGE('PERT Тимур'!G71,'PERT Леша'!G71,'PERT Ева'!G71,'PERT Адам'!G71,'PERT Дима'!G71), 4)</f>
        <v>2.3</v>
      </c>
      <c r="H71" s="6">
        <f t="shared" si="1"/>
        <v>1.38</v>
      </c>
      <c r="I71" s="6">
        <f t="shared" si="2"/>
        <v>0.0625</v>
      </c>
    </row>
    <row r="74">
      <c r="A74" s="1"/>
      <c r="B74" s="1"/>
      <c r="C74" s="1"/>
      <c r="D74" s="1"/>
      <c r="E74" s="1"/>
      <c r="F74" s="1"/>
      <c r="G74" s="1"/>
    </row>
    <row r="75">
      <c r="A75" s="4"/>
    </row>
    <row r="76">
      <c r="A76" s="4"/>
      <c r="G76" s="4"/>
    </row>
    <row r="77">
      <c r="A77" s="4"/>
    </row>
    <row r="78">
      <c r="A78" s="4"/>
    </row>
    <row r="79">
      <c r="A79" s="4"/>
      <c r="G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  <c r="G85" s="4"/>
    </row>
    <row r="86">
      <c r="A86" s="4"/>
      <c r="G86" s="4"/>
    </row>
    <row r="87">
      <c r="A87" s="4"/>
    </row>
    <row r="88">
      <c r="A88" s="4"/>
      <c r="G88" s="4"/>
    </row>
    <row r="89">
      <c r="A89" s="4"/>
      <c r="G89" s="4"/>
    </row>
    <row r="90">
      <c r="A90" s="4"/>
    </row>
    <row r="91">
      <c r="A91" s="4"/>
      <c r="G91" s="4"/>
    </row>
    <row r="92">
      <c r="A92" s="4"/>
    </row>
    <row r="93">
      <c r="A93" s="4"/>
    </row>
    <row r="94">
      <c r="A94" s="4"/>
    </row>
    <row r="95">
      <c r="A95" s="4"/>
      <c r="G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  <c r="G101" s="4"/>
    </row>
    <row r="102">
      <c r="A102" s="4"/>
      <c r="G102" s="4"/>
    </row>
    <row r="103">
      <c r="A103" s="4"/>
      <c r="G103" s="4"/>
    </row>
    <row r="104">
      <c r="A104" s="4"/>
      <c r="G104" s="4"/>
    </row>
    <row r="105">
      <c r="A105" s="4"/>
      <c r="G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  <c r="G110" s="4"/>
    </row>
    <row r="111">
      <c r="A111" s="4"/>
    </row>
    <row r="112">
      <c r="A112" s="4"/>
      <c r="F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  <c r="F117" s="4"/>
      <c r="G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  <c r="F122" s="4"/>
      <c r="G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  <c r="F128" s="4"/>
      <c r="G128" s="4"/>
    </row>
    <row r="129">
      <c r="A129" s="4"/>
    </row>
    <row r="130">
      <c r="A130" s="4"/>
      <c r="F130" s="4"/>
      <c r="G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  <c r="G136" s="4"/>
    </row>
    <row r="137">
      <c r="A137" s="4"/>
      <c r="F137" s="4"/>
      <c r="G137" s="4"/>
    </row>
    <row r="138">
      <c r="A138" s="4"/>
      <c r="F138" s="4"/>
      <c r="G138" s="4"/>
    </row>
    <row r="139">
      <c r="A139" s="4"/>
      <c r="F139" s="4"/>
      <c r="G139" s="4"/>
    </row>
    <row r="140">
      <c r="A140" s="4"/>
    </row>
    <row r="141">
      <c r="A141" s="4"/>
      <c r="G141" s="4"/>
    </row>
    <row r="142">
      <c r="A142" s="4"/>
    </row>
    <row r="143">
      <c r="A143" s="4"/>
      <c r="G143" s="4"/>
    </row>
    <row r="144">
      <c r="A14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87.0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105</v>
      </c>
      <c r="F1" s="1" t="s">
        <v>106</v>
      </c>
      <c r="G1" s="1" t="s">
        <v>107</v>
      </c>
    </row>
    <row r="2">
      <c r="A2" s="4">
        <v>45658.0</v>
      </c>
      <c r="B2" s="5" t="s">
        <v>10</v>
      </c>
      <c r="C2" s="5" t="s">
        <v>11</v>
      </c>
      <c r="D2" s="5" t="s">
        <v>12</v>
      </c>
      <c r="E2" s="5">
        <v>0.5</v>
      </c>
      <c r="F2" s="5">
        <v>1.0</v>
      </c>
      <c r="G2" s="5">
        <v>2.0</v>
      </c>
    </row>
    <row r="3">
      <c r="A3" s="4">
        <v>45689.0</v>
      </c>
      <c r="B3" s="5" t="s">
        <v>10</v>
      </c>
      <c r="C3" s="5" t="s">
        <v>14</v>
      </c>
      <c r="D3" s="5" t="s">
        <v>12</v>
      </c>
      <c r="E3" s="5">
        <v>0.5</v>
      </c>
      <c r="F3" s="5">
        <v>1.0</v>
      </c>
      <c r="G3" s="5">
        <v>1.5</v>
      </c>
    </row>
    <row r="4">
      <c r="A4" s="4">
        <v>45717.0</v>
      </c>
      <c r="B4" s="5" t="s">
        <v>10</v>
      </c>
      <c r="C4" s="5" t="s">
        <v>16</v>
      </c>
      <c r="D4" s="5" t="s">
        <v>12</v>
      </c>
      <c r="E4" s="5">
        <v>0.5</v>
      </c>
      <c r="F4" s="5">
        <v>1.0</v>
      </c>
      <c r="G4" s="5">
        <v>2.0</v>
      </c>
    </row>
    <row r="5">
      <c r="A5" s="4">
        <v>45748.0</v>
      </c>
      <c r="B5" s="5" t="s">
        <v>10</v>
      </c>
      <c r="C5" s="5" t="s">
        <v>18</v>
      </c>
      <c r="D5" s="5" t="s">
        <v>12</v>
      </c>
      <c r="E5" s="5">
        <v>0.5</v>
      </c>
      <c r="F5" s="5">
        <v>0.5</v>
      </c>
      <c r="G5" s="5">
        <v>1.0</v>
      </c>
    </row>
    <row r="6">
      <c r="A6" s="4">
        <v>45778.0</v>
      </c>
      <c r="B6" s="5" t="s">
        <v>10</v>
      </c>
      <c r="C6" s="5" t="s">
        <v>20</v>
      </c>
      <c r="D6" s="5" t="s">
        <v>12</v>
      </c>
      <c r="E6" s="5">
        <v>0.5</v>
      </c>
      <c r="F6" s="5">
        <v>1.0</v>
      </c>
      <c r="G6" s="5">
        <v>1.5</v>
      </c>
    </row>
    <row r="7">
      <c r="A7" s="4">
        <v>45809.0</v>
      </c>
      <c r="B7" s="5" t="s">
        <v>10</v>
      </c>
      <c r="C7" s="5" t="s">
        <v>21</v>
      </c>
      <c r="D7" s="5" t="s">
        <v>12</v>
      </c>
      <c r="E7" s="5">
        <v>0.5</v>
      </c>
      <c r="F7" s="5">
        <v>1.0</v>
      </c>
      <c r="G7" s="5">
        <v>2.0</v>
      </c>
    </row>
    <row r="8">
      <c r="A8" s="4">
        <v>45659.0</v>
      </c>
      <c r="B8" s="5" t="s">
        <v>23</v>
      </c>
      <c r="C8" s="5" t="s">
        <v>24</v>
      </c>
      <c r="D8" s="5" t="s">
        <v>25</v>
      </c>
      <c r="E8" s="5">
        <v>0.5</v>
      </c>
      <c r="F8" s="5">
        <v>1.0</v>
      </c>
      <c r="G8" s="5">
        <v>2.0</v>
      </c>
    </row>
    <row r="9">
      <c r="A9" s="4">
        <v>45690.0</v>
      </c>
      <c r="B9" s="5" t="s">
        <v>23</v>
      </c>
      <c r="C9" s="5" t="s">
        <v>27</v>
      </c>
      <c r="D9" s="5" t="s">
        <v>25</v>
      </c>
      <c r="E9" s="5">
        <v>0.5</v>
      </c>
      <c r="F9" s="5">
        <v>1.0</v>
      </c>
      <c r="G9" s="5">
        <v>2.0</v>
      </c>
    </row>
    <row r="10">
      <c r="A10" s="4">
        <v>45718.0</v>
      </c>
      <c r="B10" s="5" t="s">
        <v>23</v>
      </c>
      <c r="C10" s="5" t="s">
        <v>28</v>
      </c>
      <c r="D10" s="5" t="s">
        <v>25</v>
      </c>
      <c r="E10" s="5">
        <v>0.5</v>
      </c>
      <c r="F10" s="5">
        <v>0.5</v>
      </c>
      <c r="G10" s="5">
        <v>1.0</v>
      </c>
    </row>
    <row r="11">
      <c r="A11" s="4">
        <v>45749.0</v>
      </c>
      <c r="B11" s="5" t="s">
        <v>23</v>
      </c>
      <c r="C11" s="5" t="s">
        <v>30</v>
      </c>
      <c r="D11" s="5" t="s">
        <v>25</v>
      </c>
      <c r="E11" s="5">
        <v>0.5</v>
      </c>
      <c r="F11" s="5">
        <v>0.5</v>
      </c>
      <c r="G11" s="5">
        <v>1.0</v>
      </c>
    </row>
    <row r="12">
      <c r="A12" s="4">
        <v>45779.0</v>
      </c>
      <c r="B12" s="5" t="s">
        <v>23</v>
      </c>
      <c r="C12" s="5" t="s">
        <v>31</v>
      </c>
      <c r="D12" s="5" t="s">
        <v>25</v>
      </c>
      <c r="E12" s="5">
        <v>0.5</v>
      </c>
      <c r="F12" s="5">
        <v>1.0</v>
      </c>
      <c r="G12" s="5">
        <v>1.5</v>
      </c>
    </row>
    <row r="13">
      <c r="A13" s="4">
        <v>45810.0</v>
      </c>
      <c r="B13" s="5" t="s">
        <v>23</v>
      </c>
      <c r="C13" s="5" t="s">
        <v>32</v>
      </c>
      <c r="D13" s="5" t="s">
        <v>25</v>
      </c>
      <c r="E13" s="5">
        <v>0.5</v>
      </c>
      <c r="F13" s="5">
        <v>1.0</v>
      </c>
      <c r="G13" s="5">
        <v>1.5</v>
      </c>
    </row>
    <row r="14">
      <c r="A14" s="4">
        <v>45840.0</v>
      </c>
      <c r="B14" s="5" t="s">
        <v>23</v>
      </c>
      <c r="C14" s="5" t="s">
        <v>33</v>
      </c>
      <c r="D14" s="5" t="s">
        <v>12</v>
      </c>
      <c r="E14" s="5">
        <v>0.5</v>
      </c>
      <c r="F14" s="5">
        <v>0.5</v>
      </c>
      <c r="G14" s="5">
        <v>1.0</v>
      </c>
    </row>
    <row r="15">
      <c r="A15" s="4">
        <v>45660.0</v>
      </c>
      <c r="B15" s="5" t="s">
        <v>34</v>
      </c>
      <c r="C15" s="5" t="s">
        <v>35</v>
      </c>
      <c r="D15" s="5" t="s">
        <v>36</v>
      </c>
      <c r="E15" s="5">
        <v>0.5</v>
      </c>
      <c r="F15" s="5">
        <v>1.0</v>
      </c>
      <c r="G15" s="5">
        <v>1.5</v>
      </c>
    </row>
    <row r="16">
      <c r="A16" s="4">
        <v>45691.0</v>
      </c>
      <c r="B16" s="5" t="s">
        <v>34</v>
      </c>
      <c r="C16" s="5" t="s">
        <v>37</v>
      </c>
      <c r="D16" s="5" t="s">
        <v>36</v>
      </c>
      <c r="E16" s="5">
        <v>0.5</v>
      </c>
      <c r="F16" s="5">
        <v>1.0</v>
      </c>
      <c r="G16" s="5">
        <v>1.5</v>
      </c>
    </row>
    <row r="17">
      <c r="A17" s="4">
        <v>45719.0</v>
      </c>
      <c r="B17" s="5" t="s">
        <v>34</v>
      </c>
      <c r="C17" s="5" t="s">
        <v>38</v>
      </c>
      <c r="D17" s="5" t="s">
        <v>36</v>
      </c>
      <c r="E17" s="5">
        <v>0.5</v>
      </c>
      <c r="F17" s="5">
        <v>0.5</v>
      </c>
      <c r="G17" s="5">
        <v>1.0</v>
      </c>
    </row>
    <row r="18">
      <c r="A18" s="4">
        <v>45750.0</v>
      </c>
      <c r="B18" s="5" t="s">
        <v>34</v>
      </c>
      <c r="C18" s="5" t="s">
        <v>39</v>
      </c>
      <c r="D18" s="5" t="s">
        <v>36</v>
      </c>
      <c r="E18" s="5">
        <v>0.5</v>
      </c>
      <c r="F18" s="5">
        <v>1.0</v>
      </c>
      <c r="G18" s="5">
        <v>1.5</v>
      </c>
    </row>
    <row r="19">
      <c r="A19" s="4">
        <v>45780.0</v>
      </c>
      <c r="B19" s="5" t="s">
        <v>34</v>
      </c>
      <c r="C19" s="5" t="s">
        <v>40</v>
      </c>
      <c r="D19" s="5" t="s">
        <v>36</v>
      </c>
      <c r="E19" s="5">
        <v>0.5</v>
      </c>
      <c r="F19" s="5">
        <v>1.0</v>
      </c>
      <c r="G19" s="5">
        <v>2.0</v>
      </c>
    </row>
    <row r="20">
      <c r="A20" s="4">
        <v>45811.0</v>
      </c>
      <c r="B20" s="5" t="s">
        <v>34</v>
      </c>
      <c r="C20" s="5" t="s">
        <v>41</v>
      </c>
      <c r="D20" s="5" t="s">
        <v>36</v>
      </c>
      <c r="E20" s="5">
        <v>0.5</v>
      </c>
      <c r="F20" s="5">
        <v>1.0</v>
      </c>
      <c r="G20" s="5">
        <v>2.0</v>
      </c>
    </row>
    <row r="21">
      <c r="A21" s="4">
        <v>45841.0</v>
      </c>
      <c r="B21" s="5" t="s">
        <v>34</v>
      </c>
      <c r="C21" s="5" t="s">
        <v>42</v>
      </c>
      <c r="D21" s="5" t="s">
        <v>36</v>
      </c>
      <c r="E21" s="5">
        <v>0.5</v>
      </c>
      <c r="F21" s="5">
        <v>1.0</v>
      </c>
      <c r="G21" s="5">
        <v>2.0</v>
      </c>
    </row>
    <row r="22">
      <c r="A22" s="4">
        <v>45872.0</v>
      </c>
      <c r="B22" s="5" t="s">
        <v>34</v>
      </c>
      <c r="C22" s="5" t="s">
        <v>43</v>
      </c>
      <c r="D22" s="5" t="s">
        <v>36</v>
      </c>
      <c r="E22" s="5">
        <v>0.5</v>
      </c>
      <c r="F22" s="5">
        <v>1.0</v>
      </c>
      <c r="G22" s="5">
        <v>1.5</v>
      </c>
    </row>
    <row r="23">
      <c r="A23" s="4">
        <v>45661.0</v>
      </c>
      <c r="B23" s="5" t="s">
        <v>44</v>
      </c>
      <c r="C23" s="5" t="s">
        <v>45</v>
      </c>
      <c r="D23" s="5" t="s">
        <v>46</v>
      </c>
      <c r="E23" s="5">
        <v>0.5</v>
      </c>
      <c r="F23" s="5">
        <v>0.5</v>
      </c>
      <c r="G23" s="5">
        <v>1.0</v>
      </c>
    </row>
    <row r="24">
      <c r="A24" s="4">
        <v>45692.0</v>
      </c>
      <c r="B24" s="5" t="s">
        <v>44</v>
      </c>
      <c r="C24" s="5" t="s">
        <v>47</v>
      </c>
      <c r="D24" s="5" t="s">
        <v>46</v>
      </c>
      <c r="E24" s="5">
        <v>0.5</v>
      </c>
      <c r="F24" s="5">
        <v>0.5</v>
      </c>
      <c r="G24" s="5">
        <v>1.0</v>
      </c>
    </row>
    <row r="25">
      <c r="A25" s="4">
        <v>45720.0</v>
      </c>
      <c r="B25" s="5" t="s">
        <v>44</v>
      </c>
      <c r="C25" s="5" t="s">
        <v>48</v>
      </c>
      <c r="D25" s="5" t="s">
        <v>46</v>
      </c>
      <c r="E25" s="5">
        <v>0.5</v>
      </c>
      <c r="F25" s="5">
        <v>1.0</v>
      </c>
      <c r="G25" s="5">
        <v>2.0</v>
      </c>
    </row>
    <row r="26">
      <c r="A26" s="4">
        <v>45751.0</v>
      </c>
      <c r="B26" s="5" t="s">
        <v>44</v>
      </c>
      <c r="C26" s="5" t="s">
        <v>49</v>
      </c>
      <c r="D26" s="5" t="s">
        <v>46</v>
      </c>
      <c r="E26" s="5">
        <v>0.5</v>
      </c>
      <c r="F26" s="5">
        <v>1.0</v>
      </c>
      <c r="G26" s="5">
        <v>2.0</v>
      </c>
    </row>
    <row r="27">
      <c r="A27" s="4">
        <v>45781.0</v>
      </c>
      <c r="B27" s="5" t="s">
        <v>44</v>
      </c>
      <c r="C27" s="5" t="s">
        <v>50</v>
      </c>
      <c r="D27" s="5" t="s">
        <v>51</v>
      </c>
      <c r="E27" s="5">
        <v>0.5</v>
      </c>
      <c r="F27" s="5">
        <v>1.0</v>
      </c>
      <c r="G27" s="5">
        <v>2.0</v>
      </c>
    </row>
    <row r="28">
      <c r="A28" s="4">
        <v>45812.0</v>
      </c>
      <c r="B28" s="5" t="s">
        <v>44</v>
      </c>
      <c r="C28" s="5" t="s">
        <v>52</v>
      </c>
      <c r="D28" s="5" t="s">
        <v>51</v>
      </c>
      <c r="E28" s="5">
        <v>0.5</v>
      </c>
      <c r="F28" s="5">
        <v>1.0</v>
      </c>
      <c r="G28" s="5">
        <v>1.5</v>
      </c>
    </row>
    <row r="29">
      <c r="A29" s="4">
        <v>45842.0</v>
      </c>
      <c r="B29" s="5" t="s">
        <v>44</v>
      </c>
      <c r="C29" s="5" t="s">
        <v>53</v>
      </c>
      <c r="D29" s="5" t="s">
        <v>51</v>
      </c>
      <c r="E29" s="5">
        <v>0.5</v>
      </c>
      <c r="F29" s="5">
        <v>1.0</v>
      </c>
      <c r="G29" s="5">
        <v>1.5</v>
      </c>
    </row>
    <row r="30">
      <c r="A30" s="4">
        <v>45873.0</v>
      </c>
      <c r="B30" s="5" t="s">
        <v>44</v>
      </c>
      <c r="C30" s="5" t="s">
        <v>54</v>
      </c>
      <c r="D30" s="5" t="s">
        <v>51</v>
      </c>
      <c r="E30" s="5">
        <v>0.5</v>
      </c>
      <c r="F30" s="5">
        <v>1.0</v>
      </c>
      <c r="G30" s="5">
        <v>1.5</v>
      </c>
    </row>
    <row r="31">
      <c r="A31" s="4">
        <v>45662.0</v>
      </c>
      <c r="B31" s="5" t="s">
        <v>55</v>
      </c>
      <c r="C31" s="5" t="s">
        <v>56</v>
      </c>
      <c r="D31" s="5" t="s">
        <v>57</v>
      </c>
      <c r="E31" s="5">
        <v>0.5</v>
      </c>
      <c r="F31" s="5">
        <v>1.0</v>
      </c>
      <c r="G31" s="5">
        <v>1.5</v>
      </c>
    </row>
    <row r="32">
      <c r="A32" s="4">
        <v>45693.0</v>
      </c>
      <c r="B32" s="5" t="s">
        <v>55</v>
      </c>
      <c r="C32" s="5" t="s">
        <v>58</v>
      </c>
      <c r="D32" s="5" t="s">
        <v>57</v>
      </c>
      <c r="E32" s="5">
        <v>0.5</v>
      </c>
      <c r="F32" s="5">
        <v>1.0</v>
      </c>
      <c r="G32" s="5">
        <v>1.5</v>
      </c>
    </row>
    <row r="33">
      <c r="A33" s="4">
        <v>45721.0</v>
      </c>
      <c r="B33" s="5" t="s">
        <v>55</v>
      </c>
      <c r="C33" s="5" t="s">
        <v>59</v>
      </c>
      <c r="D33" s="5" t="s">
        <v>57</v>
      </c>
      <c r="E33" s="5">
        <v>0.5</v>
      </c>
      <c r="F33" s="5">
        <v>1.0</v>
      </c>
      <c r="G33" s="5">
        <v>2.0</v>
      </c>
    </row>
    <row r="34">
      <c r="A34" s="4">
        <v>45752.0</v>
      </c>
      <c r="B34" s="5" t="s">
        <v>55</v>
      </c>
      <c r="C34" s="5" t="s">
        <v>60</v>
      </c>
      <c r="D34" s="5" t="s">
        <v>57</v>
      </c>
      <c r="E34" s="5">
        <v>0.5</v>
      </c>
      <c r="F34" s="5">
        <v>1.0</v>
      </c>
      <c r="G34" s="5">
        <v>2.0</v>
      </c>
    </row>
    <row r="35">
      <c r="A35" s="4">
        <v>45782.0</v>
      </c>
      <c r="B35" s="5" t="s">
        <v>55</v>
      </c>
      <c r="C35" s="5" t="s">
        <v>61</v>
      </c>
      <c r="D35" s="5" t="s">
        <v>57</v>
      </c>
      <c r="E35" s="5">
        <v>0.5</v>
      </c>
      <c r="F35" s="5">
        <v>0.5</v>
      </c>
      <c r="G35" s="5">
        <v>1.0</v>
      </c>
    </row>
    <row r="36">
      <c r="A36" s="4">
        <v>45813.0</v>
      </c>
      <c r="B36" s="5" t="s">
        <v>55</v>
      </c>
      <c r="C36" s="5" t="s">
        <v>62</v>
      </c>
      <c r="D36" s="5" t="s">
        <v>57</v>
      </c>
      <c r="E36" s="5">
        <v>1.0</v>
      </c>
      <c r="F36" s="5">
        <v>2.0</v>
      </c>
      <c r="G36" s="5">
        <v>3.0</v>
      </c>
    </row>
    <row r="37">
      <c r="A37" s="4">
        <v>45843.0</v>
      </c>
      <c r="B37" s="5" t="s">
        <v>55</v>
      </c>
      <c r="C37" s="5" t="s">
        <v>63</v>
      </c>
      <c r="D37" s="5" t="s">
        <v>57</v>
      </c>
      <c r="E37" s="5">
        <v>0.5</v>
      </c>
      <c r="F37" s="5">
        <v>1.0</v>
      </c>
      <c r="G37" s="5">
        <v>1.5</v>
      </c>
    </row>
    <row r="38">
      <c r="A38" s="4">
        <v>45874.0</v>
      </c>
      <c r="B38" s="5" t="s">
        <v>55</v>
      </c>
      <c r="C38" s="5" t="s">
        <v>64</v>
      </c>
      <c r="D38" s="5" t="s">
        <v>57</v>
      </c>
      <c r="E38" s="5">
        <v>1.0</v>
      </c>
      <c r="F38" s="5">
        <v>2.0</v>
      </c>
      <c r="G38" s="5">
        <v>3.0</v>
      </c>
    </row>
    <row r="39">
      <c r="A39" s="4">
        <v>45905.0</v>
      </c>
      <c r="B39" s="5" t="s">
        <v>55</v>
      </c>
      <c r="C39" s="5" t="s">
        <v>65</v>
      </c>
      <c r="D39" s="5" t="s">
        <v>57</v>
      </c>
      <c r="E39" s="5">
        <v>0.5</v>
      </c>
      <c r="F39" s="5">
        <v>1.5</v>
      </c>
      <c r="G39" s="5">
        <v>3.0</v>
      </c>
    </row>
    <row r="40">
      <c r="A40" s="4">
        <v>45935.0</v>
      </c>
      <c r="B40" s="5" t="s">
        <v>55</v>
      </c>
      <c r="C40" s="5" t="s">
        <v>66</v>
      </c>
      <c r="D40" s="5" t="s">
        <v>57</v>
      </c>
      <c r="E40" s="5">
        <v>1.0</v>
      </c>
      <c r="F40" s="5">
        <v>2.0</v>
      </c>
      <c r="G40" s="5">
        <v>3.0</v>
      </c>
    </row>
    <row r="41">
      <c r="A41" s="4">
        <v>45663.0</v>
      </c>
      <c r="B41" s="5" t="s">
        <v>67</v>
      </c>
      <c r="C41" s="5" t="s">
        <v>68</v>
      </c>
      <c r="D41" s="5" t="s">
        <v>69</v>
      </c>
      <c r="E41" s="5">
        <v>0.5</v>
      </c>
      <c r="F41" s="5">
        <v>1.0</v>
      </c>
      <c r="G41" s="5">
        <v>2.0</v>
      </c>
    </row>
    <row r="42">
      <c r="A42" s="4">
        <v>45694.0</v>
      </c>
      <c r="B42" s="5" t="s">
        <v>67</v>
      </c>
      <c r="C42" s="5" t="s">
        <v>70</v>
      </c>
      <c r="D42" s="5" t="s">
        <v>69</v>
      </c>
      <c r="E42" s="5">
        <v>0.5</v>
      </c>
      <c r="F42" s="5">
        <v>0.5</v>
      </c>
      <c r="G42" s="5">
        <v>1.0</v>
      </c>
    </row>
    <row r="43">
      <c r="A43" s="4">
        <v>45722.0</v>
      </c>
      <c r="B43" s="5" t="s">
        <v>67</v>
      </c>
      <c r="C43" s="5" t="s">
        <v>71</v>
      </c>
      <c r="D43" s="5" t="s">
        <v>69</v>
      </c>
      <c r="E43" s="5">
        <v>0.5</v>
      </c>
      <c r="F43" s="5">
        <v>1.0</v>
      </c>
      <c r="G43" s="5">
        <v>2.0</v>
      </c>
    </row>
    <row r="44">
      <c r="A44" s="4">
        <v>45753.0</v>
      </c>
      <c r="B44" s="5" t="s">
        <v>67</v>
      </c>
      <c r="C44" s="5" t="s">
        <v>72</v>
      </c>
      <c r="D44" s="5" t="s">
        <v>69</v>
      </c>
      <c r="E44" s="5">
        <v>0.5</v>
      </c>
      <c r="F44" s="5">
        <v>1.5</v>
      </c>
      <c r="G44" s="5">
        <v>2.5</v>
      </c>
    </row>
    <row r="45">
      <c r="A45" s="4">
        <v>45783.0</v>
      </c>
      <c r="B45" s="5" t="s">
        <v>67</v>
      </c>
      <c r="C45" s="5" t="s">
        <v>73</v>
      </c>
      <c r="D45" s="5" t="s">
        <v>69</v>
      </c>
      <c r="E45" s="5">
        <v>0.5</v>
      </c>
      <c r="F45" s="5">
        <v>1.0</v>
      </c>
      <c r="G45" s="5">
        <v>2.0</v>
      </c>
    </row>
    <row r="46">
      <c r="A46" s="4">
        <v>45814.0</v>
      </c>
      <c r="B46" s="5" t="s">
        <v>67</v>
      </c>
      <c r="C46" s="5" t="s">
        <v>74</v>
      </c>
      <c r="D46" s="5" t="s">
        <v>69</v>
      </c>
      <c r="E46" s="5">
        <v>0.5</v>
      </c>
      <c r="F46" s="5">
        <v>1.0</v>
      </c>
      <c r="G46" s="5">
        <v>2.0</v>
      </c>
    </row>
    <row r="47">
      <c r="A47" s="4">
        <v>45844.0</v>
      </c>
      <c r="B47" s="5" t="s">
        <v>67</v>
      </c>
      <c r="C47" s="5" t="s">
        <v>75</v>
      </c>
      <c r="D47" s="5" t="s">
        <v>69</v>
      </c>
      <c r="E47" s="5">
        <v>0.5</v>
      </c>
      <c r="F47" s="5">
        <v>1.0</v>
      </c>
      <c r="G47" s="5">
        <v>2.0</v>
      </c>
    </row>
    <row r="48">
      <c r="A48" s="4">
        <v>45875.0</v>
      </c>
      <c r="B48" s="5" t="s">
        <v>67</v>
      </c>
      <c r="C48" s="5" t="s">
        <v>76</v>
      </c>
      <c r="D48" s="5" t="s">
        <v>69</v>
      </c>
      <c r="E48" s="5">
        <v>0.5</v>
      </c>
      <c r="F48" s="5">
        <v>1.0</v>
      </c>
      <c r="G48" s="5">
        <v>2.0</v>
      </c>
    </row>
    <row r="49">
      <c r="A49" s="4">
        <v>45906.0</v>
      </c>
      <c r="B49" s="5" t="s">
        <v>67</v>
      </c>
      <c r="C49" s="5" t="s">
        <v>77</v>
      </c>
      <c r="D49" s="5" t="s">
        <v>69</v>
      </c>
      <c r="E49" s="5">
        <v>0.5</v>
      </c>
      <c r="F49" s="5">
        <v>1.5</v>
      </c>
      <c r="G49" s="5">
        <v>2.5</v>
      </c>
    </row>
    <row r="50">
      <c r="A50" s="4">
        <v>45936.0</v>
      </c>
      <c r="B50" s="5" t="s">
        <v>67</v>
      </c>
      <c r="C50" s="5" t="s">
        <v>78</v>
      </c>
      <c r="D50" s="5" t="s">
        <v>69</v>
      </c>
      <c r="E50" s="5">
        <v>0.5</v>
      </c>
      <c r="F50" s="5">
        <v>1.0</v>
      </c>
      <c r="G50" s="5">
        <v>2.0</v>
      </c>
    </row>
    <row r="51">
      <c r="A51" s="4">
        <v>45967.0</v>
      </c>
      <c r="B51" s="5" t="s">
        <v>67</v>
      </c>
      <c r="C51" s="5" t="s">
        <v>79</v>
      </c>
      <c r="D51" s="5" t="s">
        <v>69</v>
      </c>
      <c r="E51" s="5">
        <v>0.5</v>
      </c>
      <c r="F51" s="5">
        <v>1.0</v>
      </c>
      <c r="G51" s="5">
        <v>2.0</v>
      </c>
    </row>
    <row r="52">
      <c r="A52" s="4">
        <v>45664.0</v>
      </c>
      <c r="B52" s="5" t="s">
        <v>80</v>
      </c>
      <c r="C52" s="5" t="s">
        <v>81</v>
      </c>
      <c r="D52" s="5" t="s">
        <v>82</v>
      </c>
      <c r="E52" s="5">
        <v>0.5</v>
      </c>
      <c r="F52" s="5">
        <v>0.5</v>
      </c>
      <c r="G52" s="5">
        <v>1.0</v>
      </c>
    </row>
    <row r="53">
      <c r="A53" s="4">
        <v>45695.0</v>
      </c>
      <c r="B53" s="5" t="s">
        <v>80</v>
      </c>
      <c r="C53" s="5" t="s">
        <v>83</v>
      </c>
      <c r="D53" s="5" t="s">
        <v>82</v>
      </c>
      <c r="E53" s="5">
        <v>0.5</v>
      </c>
      <c r="F53" s="5">
        <v>1.0</v>
      </c>
      <c r="G53" s="5">
        <v>2.0</v>
      </c>
    </row>
    <row r="54">
      <c r="A54" s="4">
        <v>45723.0</v>
      </c>
      <c r="B54" s="5" t="s">
        <v>80</v>
      </c>
      <c r="C54" s="5" t="s">
        <v>84</v>
      </c>
      <c r="D54" s="5" t="s">
        <v>82</v>
      </c>
      <c r="E54" s="5">
        <v>0.5</v>
      </c>
      <c r="F54" s="5">
        <v>0.5</v>
      </c>
      <c r="G54" s="5">
        <v>1.0</v>
      </c>
    </row>
    <row r="55">
      <c r="A55" s="4">
        <v>45754.0</v>
      </c>
      <c r="B55" s="5" t="s">
        <v>80</v>
      </c>
      <c r="C55" s="5" t="s">
        <v>85</v>
      </c>
      <c r="D55" s="5" t="s">
        <v>82</v>
      </c>
      <c r="E55" s="5">
        <v>0.5</v>
      </c>
      <c r="F55" s="5">
        <v>1.5</v>
      </c>
      <c r="G55" s="5">
        <v>2.5</v>
      </c>
    </row>
    <row r="56">
      <c r="A56" s="4">
        <v>45784.0</v>
      </c>
      <c r="B56" s="5" t="s">
        <v>80</v>
      </c>
      <c r="C56" s="5" t="s">
        <v>86</v>
      </c>
      <c r="D56" s="5" t="s">
        <v>82</v>
      </c>
      <c r="E56" s="5">
        <v>0.5</v>
      </c>
      <c r="F56" s="5">
        <v>1.0</v>
      </c>
      <c r="G56" s="5">
        <v>2.0</v>
      </c>
    </row>
    <row r="57">
      <c r="A57" s="4">
        <v>45815.0</v>
      </c>
      <c r="B57" s="5" t="s">
        <v>80</v>
      </c>
      <c r="C57" s="5" t="s">
        <v>87</v>
      </c>
      <c r="D57" s="5" t="s">
        <v>82</v>
      </c>
      <c r="E57" s="5">
        <v>0.5</v>
      </c>
      <c r="F57" s="5">
        <v>1.5</v>
      </c>
      <c r="G57" s="5">
        <v>2.5</v>
      </c>
    </row>
    <row r="58">
      <c r="A58" s="4">
        <v>45845.0</v>
      </c>
      <c r="B58" s="5" t="s">
        <v>80</v>
      </c>
      <c r="C58" s="5" t="s">
        <v>88</v>
      </c>
      <c r="D58" s="5" t="s">
        <v>82</v>
      </c>
      <c r="E58" s="5">
        <v>0.5</v>
      </c>
      <c r="F58" s="5">
        <v>1.0</v>
      </c>
      <c r="G58" s="5">
        <v>2.0</v>
      </c>
    </row>
    <row r="59">
      <c r="A59" s="4">
        <v>45876.0</v>
      </c>
      <c r="B59" s="5" t="s">
        <v>80</v>
      </c>
      <c r="C59" s="5" t="s">
        <v>89</v>
      </c>
      <c r="D59" s="5" t="s">
        <v>82</v>
      </c>
      <c r="E59" s="5">
        <v>0.5</v>
      </c>
      <c r="F59" s="5">
        <v>1.0</v>
      </c>
      <c r="G59" s="5">
        <v>2.0</v>
      </c>
    </row>
    <row r="60">
      <c r="A60" s="4">
        <v>45907.0</v>
      </c>
      <c r="B60" s="5" t="s">
        <v>80</v>
      </c>
      <c r="C60" s="5" t="s">
        <v>90</v>
      </c>
      <c r="D60" s="5" t="s">
        <v>82</v>
      </c>
      <c r="E60" s="5">
        <v>0.5</v>
      </c>
      <c r="F60" s="5">
        <v>1.0</v>
      </c>
      <c r="G60" s="5">
        <v>2.0</v>
      </c>
    </row>
    <row r="61">
      <c r="A61" s="4">
        <v>45937.0</v>
      </c>
      <c r="B61" s="5" t="s">
        <v>80</v>
      </c>
      <c r="C61" s="5" t="s">
        <v>91</v>
      </c>
      <c r="D61" s="5" t="s">
        <v>82</v>
      </c>
      <c r="E61" s="5">
        <v>0.5</v>
      </c>
      <c r="F61" s="5">
        <v>0.5</v>
      </c>
      <c r="G61" s="5">
        <v>1.0</v>
      </c>
    </row>
    <row r="62">
      <c r="A62" s="4">
        <v>45968.0</v>
      </c>
      <c r="B62" s="5" t="s">
        <v>80</v>
      </c>
      <c r="C62" s="5" t="s">
        <v>92</v>
      </c>
      <c r="D62" s="5" t="s">
        <v>82</v>
      </c>
      <c r="E62" s="5">
        <v>0.5</v>
      </c>
      <c r="F62" s="5">
        <v>1.0</v>
      </c>
      <c r="G62" s="5">
        <v>2.0</v>
      </c>
    </row>
    <row r="63">
      <c r="A63" s="4">
        <v>45665.0</v>
      </c>
      <c r="B63" s="5" t="s">
        <v>93</v>
      </c>
      <c r="C63" s="5" t="s">
        <v>94</v>
      </c>
      <c r="D63" s="5" t="s">
        <v>95</v>
      </c>
      <c r="E63" s="5">
        <v>0.5</v>
      </c>
      <c r="F63" s="5">
        <v>1.0</v>
      </c>
      <c r="G63" s="5">
        <v>1.5</v>
      </c>
    </row>
    <row r="64">
      <c r="A64" s="4">
        <v>45696.0</v>
      </c>
      <c r="B64" s="5" t="s">
        <v>93</v>
      </c>
      <c r="C64" s="5" t="s">
        <v>96</v>
      </c>
      <c r="D64" s="5" t="s">
        <v>95</v>
      </c>
      <c r="E64" s="5">
        <v>0.5</v>
      </c>
      <c r="F64" s="5">
        <v>1.5</v>
      </c>
      <c r="G64" s="5">
        <v>2.5</v>
      </c>
    </row>
    <row r="65">
      <c r="A65" s="4">
        <v>45724.0</v>
      </c>
      <c r="B65" s="5" t="s">
        <v>93</v>
      </c>
      <c r="C65" s="5" t="s">
        <v>97</v>
      </c>
      <c r="D65" s="5" t="s">
        <v>95</v>
      </c>
      <c r="E65" s="5">
        <v>0.5</v>
      </c>
      <c r="F65" s="5">
        <v>1.5</v>
      </c>
      <c r="G65" s="5">
        <v>2.5</v>
      </c>
    </row>
    <row r="66">
      <c r="A66" s="4">
        <v>45755.0</v>
      </c>
      <c r="B66" s="5" t="s">
        <v>93</v>
      </c>
      <c r="C66" s="5" t="s">
        <v>98</v>
      </c>
      <c r="D66" s="5" t="s">
        <v>95</v>
      </c>
      <c r="E66" s="5">
        <v>0.5</v>
      </c>
      <c r="F66" s="5">
        <v>1.5</v>
      </c>
      <c r="G66" s="5">
        <v>2.5</v>
      </c>
    </row>
    <row r="67">
      <c r="A67" s="4">
        <v>45785.0</v>
      </c>
      <c r="B67" s="5" t="s">
        <v>93</v>
      </c>
      <c r="C67" s="5" t="s">
        <v>99</v>
      </c>
      <c r="D67" s="5" t="s">
        <v>95</v>
      </c>
      <c r="E67" s="5">
        <v>1.0</v>
      </c>
      <c r="F67" s="5">
        <v>2.0</v>
      </c>
      <c r="G67" s="5">
        <v>3.0</v>
      </c>
    </row>
    <row r="68">
      <c r="A68" s="4">
        <v>45816.0</v>
      </c>
      <c r="B68" s="5" t="s">
        <v>93</v>
      </c>
      <c r="C68" s="5" t="s">
        <v>100</v>
      </c>
      <c r="D68" s="5" t="s">
        <v>51</v>
      </c>
      <c r="E68" s="5">
        <v>0.5</v>
      </c>
      <c r="F68" s="5">
        <v>1.0</v>
      </c>
      <c r="G68" s="5">
        <v>1.5</v>
      </c>
    </row>
    <row r="69">
      <c r="A69" s="4">
        <v>45846.0</v>
      </c>
      <c r="B69" s="5" t="s">
        <v>93</v>
      </c>
      <c r="C69" s="5" t="s">
        <v>101</v>
      </c>
      <c r="D69" s="5" t="s">
        <v>102</v>
      </c>
      <c r="E69" s="5">
        <v>0.5</v>
      </c>
      <c r="F69" s="5">
        <v>1.0</v>
      </c>
      <c r="G69" s="5">
        <v>2.0</v>
      </c>
    </row>
    <row r="70">
      <c r="A70" s="4">
        <v>45877.0</v>
      </c>
      <c r="B70" s="5" t="s">
        <v>93</v>
      </c>
      <c r="C70" s="5" t="s">
        <v>103</v>
      </c>
      <c r="D70" s="5" t="s">
        <v>102</v>
      </c>
      <c r="E70" s="5">
        <v>0.5</v>
      </c>
      <c r="F70" s="5">
        <v>1.0</v>
      </c>
      <c r="G70" s="5">
        <v>1.5</v>
      </c>
    </row>
    <row r="71">
      <c r="A71" s="4">
        <v>45908.0</v>
      </c>
      <c r="B71" s="5" t="s">
        <v>93</v>
      </c>
      <c r="C71" s="5" t="s">
        <v>104</v>
      </c>
      <c r="D71" s="5" t="s">
        <v>12</v>
      </c>
      <c r="E71" s="5">
        <v>0.5</v>
      </c>
      <c r="F71" s="5">
        <v>0.5</v>
      </c>
      <c r="G71" s="5">
        <v>1.0</v>
      </c>
    </row>
    <row r="74">
      <c r="A74" s="1"/>
      <c r="B74" s="1"/>
      <c r="C74" s="1"/>
      <c r="D74" s="1"/>
      <c r="E74" s="1"/>
      <c r="F74" s="1"/>
      <c r="G74" s="1"/>
    </row>
    <row r="75">
      <c r="A75" s="4"/>
    </row>
    <row r="76">
      <c r="A76" s="4"/>
      <c r="G76" s="4"/>
    </row>
    <row r="77">
      <c r="A77" s="4"/>
    </row>
    <row r="78">
      <c r="A78" s="4"/>
    </row>
    <row r="79">
      <c r="A79" s="4"/>
      <c r="G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  <c r="G85" s="4"/>
    </row>
    <row r="86">
      <c r="A86" s="4"/>
      <c r="G86" s="4"/>
    </row>
    <row r="87">
      <c r="A87" s="4"/>
    </row>
    <row r="88">
      <c r="A88" s="4"/>
      <c r="G88" s="4"/>
    </row>
    <row r="89">
      <c r="A89" s="4"/>
      <c r="G89" s="4"/>
    </row>
    <row r="90">
      <c r="A90" s="4"/>
    </row>
    <row r="91">
      <c r="A91" s="4"/>
      <c r="G91" s="4"/>
    </row>
    <row r="92">
      <c r="A92" s="4"/>
    </row>
    <row r="93">
      <c r="A93" s="4"/>
    </row>
    <row r="94">
      <c r="A94" s="4"/>
    </row>
    <row r="95">
      <c r="A95" s="4"/>
      <c r="G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  <c r="G101" s="4"/>
    </row>
    <row r="102">
      <c r="A102" s="4"/>
      <c r="G102" s="4"/>
    </row>
    <row r="103">
      <c r="A103" s="4"/>
      <c r="G103" s="4"/>
    </row>
    <row r="104">
      <c r="A104" s="4"/>
      <c r="G104" s="4"/>
    </row>
    <row r="105">
      <c r="A105" s="4"/>
      <c r="G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  <c r="G110" s="4"/>
    </row>
    <row r="111">
      <c r="A111" s="4"/>
    </row>
    <row r="112">
      <c r="A112" s="4"/>
      <c r="F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  <c r="F117" s="4"/>
      <c r="G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  <c r="F122" s="4"/>
      <c r="G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  <c r="F128" s="4"/>
      <c r="G128" s="4"/>
    </row>
    <row r="129">
      <c r="A129" s="4"/>
    </row>
    <row r="130">
      <c r="A130" s="4"/>
      <c r="F130" s="4"/>
      <c r="G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  <c r="G136" s="4"/>
    </row>
    <row r="137">
      <c r="A137" s="4"/>
      <c r="F137" s="4"/>
      <c r="G137" s="4"/>
    </row>
    <row r="138">
      <c r="A138" s="4"/>
      <c r="F138" s="4"/>
      <c r="G138" s="4"/>
    </row>
    <row r="139">
      <c r="A139" s="4"/>
      <c r="F139" s="4"/>
      <c r="G139" s="4"/>
    </row>
    <row r="140">
      <c r="A140" s="4"/>
    </row>
    <row r="141">
      <c r="A141" s="4"/>
      <c r="G141" s="4"/>
    </row>
    <row r="142">
      <c r="A142" s="4"/>
    </row>
    <row r="143">
      <c r="A143" s="4"/>
      <c r="G143" s="4"/>
    </row>
    <row r="144">
      <c r="A144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87.0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105</v>
      </c>
      <c r="F1" s="1" t="s">
        <v>106</v>
      </c>
      <c r="G1" s="1" t="s">
        <v>107</v>
      </c>
    </row>
    <row r="2">
      <c r="A2" s="4">
        <v>45658.0</v>
      </c>
      <c r="B2" s="5" t="s">
        <v>10</v>
      </c>
      <c r="C2" s="5" t="s">
        <v>11</v>
      </c>
      <c r="D2" s="5" t="s">
        <v>12</v>
      </c>
      <c r="E2" s="5">
        <v>1.0</v>
      </c>
      <c r="F2" s="5">
        <v>2.0</v>
      </c>
      <c r="G2" s="5">
        <v>3.0</v>
      </c>
    </row>
    <row r="3">
      <c r="A3" s="4">
        <v>45689.0</v>
      </c>
      <c r="B3" s="5" t="s">
        <v>10</v>
      </c>
      <c r="C3" s="5" t="s">
        <v>14</v>
      </c>
      <c r="D3" s="5" t="s">
        <v>12</v>
      </c>
      <c r="E3" s="5">
        <v>0.5</v>
      </c>
      <c r="F3" s="5">
        <v>1.0</v>
      </c>
      <c r="G3" s="5">
        <v>2.0</v>
      </c>
    </row>
    <row r="4">
      <c r="A4" s="4">
        <v>45717.0</v>
      </c>
      <c r="B4" s="5" t="s">
        <v>10</v>
      </c>
      <c r="C4" s="5" t="s">
        <v>16</v>
      </c>
      <c r="D4" s="5" t="s">
        <v>12</v>
      </c>
      <c r="E4" s="5">
        <v>1.0</v>
      </c>
      <c r="F4" s="5">
        <v>2.0</v>
      </c>
      <c r="G4" s="5">
        <v>3.0</v>
      </c>
    </row>
    <row r="5">
      <c r="A5" s="4">
        <v>45748.0</v>
      </c>
      <c r="B5" s="5" t="s">
        <v>10</v>
      </c>
      <c r="C5" s="5" t="s">
        <v>18</v>
      </c>
      <c r="D5" s="5" t="s">
        <v>12</v>
      </c>
      <c r="E5" s="5">
        <v>0.5</v>
      </c>
      <c r="F5" s="5">
        <v>1.0</v>
      </c>
      <c r="G5" s="5">
        <v>2.0</v>
      </c>
    </row>
    <row r="6">
      <c r="A6" s="4">
        <v>45778.0</v>
      </c>
      <c r="B6" s="5" t="s">
        <v>10</v>
      </c>
      <c r="C6" s="5" t="s">
        <v>20</v>
      </c>
      <c r="D6" s="5" t="s">
        <v>12</v>
      </c>
      <c r="E6" s="5">
        <v>1.0</v>
      </c>
      <c r="F6" s="5">
        <v>2.0</v>
      </c>
      <c r="G6" s="5">
        <v>3.0</v>
      </c>
    </row>
    <row r="7">
      <c r="A7" s="4">
        <v>45809.0</v>
      </c>
      <c r="B7" s="5" t="s">
        <v>10</v>
      </c>
      <c r="C7" s="5" t="s">
        <v>21</v>
      </c>
      <c r="D7" s="5" t="s">
        <v>12</v>
      </c>
      <c r="E7" s="5">
        <v>1.0</v>
      </c>
      <c r="F7" s="5">
        <v>2.0</v>
      </c>
      <c r="G7" s="5">
        <v>3.0</v>
      </c>
    </row>
    <row r="8">
      <c r="A8" s="4">
        <v>45659.0</v>
      </c>
      <c r="B8" s="5" t="s">
        <v>23</v>
      </c>
      <c r="C8" s="5" t="s">
        <v>24</v>
      </c>
      <c r="D8" s="5" t="s">
        <v>25</v>
      </c>
      <c r="E8" s="5">
        <v>1.0</v>
      </c>
      <c r="F8" s="5">
        <v>2.0</v>
      </c>
      <c r="G8" s="5">
        <v>4.0</v>
      </c>
    </row>
    <row r="9">
      <c r="A9" s="4">
        <v>45690.0</v>
      </c>
      <c r="B9" s="5" t="s">
        <v>23</v>
      </c>
      <c r="C9" s="5" t="s">
        <v>27</v>
      </c>
      <c r="D9" s="5" t="s">
        <v>25</v>
      </c>
      <c r="E9" s="5">
        <v>1.0</v>
      </c>
      <c r="F9" s="5">
        <v>1.5</v>
      </c>
      <c r="G9" s="5">
        <v>2.0</v>
      </c>
    </row>
    <row r="10">
      <c r="A10" s="4">
        <v>45718.0</v>
      </c>
      <c r="B10" s="5" t="s">
        <v>23</v>
      </c>
      <c r="C10" s="5" t="s">
        <v>28</v>
      </c>
      <c r="D10" s="5" t="s">
        <v>25</v>
      </c>
      <c r="E10" s="5">
        <v>1.0</v>
      </c>
      <c r="F10" s="5">
        <v>1.5</v>
      </c>
      <c r="G10" s="5">
        <v>2.0</v>
      </c>
    </row>
    <row r="11">
      <c r="A11" s="4">
        <v>45749.0</v>
      </c>
      <c r="B11" s="5" t="s">
        <v>23</v>
      </c>
      <c r="C11" s="5" t="s">
        <v>30</v>
      </c>
      <c r="D11" s="5" t="s">
        <v>25</v>
      </c>
      <c r="E11" s="5">
        <v>0.5</v>
      </c>
      <c r="F11" s="5">
        <v>1.0</v>
      </c>
      <c r="G11" s="5">
        <v>1.5</v>
      </c>
    </row>
    <row r="12">
      <c r="A12" s="4">
        <v>45779.0</v>
      </c>
      <c r="B12" s="5" t="s">
        <v>23</v>
      </c>
      <c r="C12" s="5" t="s">
        <v>31</v>
      </c>
      <c r="D12" s="5" t="s">
        <v>25</v>
      </c>
      <c r="E12" s="5">
        <v>1.5</v>
      </c>
      <c r="F12" s="5">
        <v>2.0</v>
      </c>
      <c r="G12" s="5">
        <v>4.0</v>
      </c>
    </row>
    <row r="13">
      <c r="A13" s="4">
        <v>45810.0</v>
      </c>
      <c r="B13" s="5" t="s">
        <v>23</v>
      </c>
      <c r="C13" s="5" t="s">
        <v>32</v>
      </c>
      <c r="D13" s="5" t="s">
        <v>25</v>
      </c>
      <c r="E13" s="5">
        <v>0.5</v>
      </c>
      <c r="F13" s="5">
        <v>1.0</v>
      </c>
      <c r="G13" s="5">
        <v>2.0</v>
      </c>
    </row>
    <row r="14">
      <c r="A14" s="4">
        <v>45840.0</v>
      </c>
      <c r="B14" s="5" t="s">
        <v>23</v>
      </c>
      <c r="C14" s="5" t="s">
        <v>33</v>
      </c>
      <c r="D14" s="5" t="s">
        <v>12</v>
      </c>
      <c r="E14" s="5">
        <v>1.0</v>
      </c>
      <c r="F14" s="5">
        <v>1.5</v>
      </c>
      <c r="G14" s="5">
        <v>2.5</v>
      </c>
    </row>
    <row r="15">
      <c r="A15" s="4">
        <v>45660.0</v>
      </c>
      <c r="B15" s="5" t="s">
        <v>34</v>
      </c>
      <c r="C15" s="5" t="s">
        <v>35</v>
      </c>
      <c r="D15" s="5" t="s">
        <v>36</v>
      </c>
      <c r="E15" s="5">
        <v>1.0</v>
      </c>
      <c r="F15" s="5">
        <v>2.0</v>
      </c>
      <c r="G15" s="5">
        <v>4.0</v>
      </c>
    </row>
    <row r="16">
      <c r="A16" s="4">
        <v>45691.0</v>
      </c>
      <c r="B16" s="5" t="s">
        <v>34</v>
      </c>
      <c r="C16" s="5" t="s">
        <v>37</v>
      </c>
      <c r="D16" s="5" t="s">
        <v>36</v>
      </c>
      <c r="E16" s="5">
        <v>1.0</v>
      </c>
      <c r="F16" s="5">
        <v>2.0</v>
      </c>
      <c r="G16" s="5">
        <v>4.0</v>
      </c>
    </row>
    <row r="17">
      <c r="A17" s="4">
        <v>45719.0</v>
      </c>
      <c r="B17" s="5" t="s">
        <v>34</v>
      </c>
      <c r="C17" s="5" t="s">
        <v>38</v>
      </c>
      <c r="D17" s="5" t="s">
        <v>36</v>
      </c>
      <c r="E17" s="5">
        <v>0.5</v>
      </c>
      <c r="F17" s="5">
        <v>1.0</v>
      </c>
      <c r="G17" s="5">
        <v>2.0</v>
      </c>
    </row>
    <row r="18">
      <c r="A18" s="4">
        <v>45750.0</v>
      </c>
      <c r="B18" s="5" t="s">
        <v>34</v>
      </c>
      <c r="C18" s="5" t="s">
        <v>39</v>
      </c>
      <c r="D18" s="5" t="s">
        <v>36</v>
      </c>
      <c r="E18" s="5">
        <v>1.0</v>
      </c>
      <c r="F18" s="5">
        <v>2.0</v>
      </c>
      <c r="G18" s="5">
        <v>3.0</v>
      </c>
    </row>
    <row r="19">
      <c r="A19" s="4">
        <v>45780.0</v>
      </c>
      <c r="B19" s="5" t="s">
        <v>34</v>
      </c>
      <c r="C19" s="5" t="s">
        <v>40</v>
      </c>
      <c r="D19" s="5" t="s">
        <v>36</v>
      </c>
      <c r="E19" s="5">
        <v>0.5</v>
      </c>
      <c r="F19" s="5">
        <v>1.0</v>
      </c>
      <c r="G19" s="5">
        <v>2.0</v>
      </c>
    </row>
    <row r="20">
      <c r="A20" s="4">
        <v>45811.0</v>
      </c>
      <c r="B20" s="5" t="s">
        <v>34</v>
      </c>
      <c r="C20" s="5" t="s">
        <v>41</v>
      </c>
      <c r="D20" s="5" t="s">
        <v>36</v>
      </c>
      <c r="E20" s="5">
        <v>1.0</v>
      </c>
      <c r="F20" s="5">
        <v>2.0</v>
      </c>
      <c r="G20" s="5">
        <v>3.0</v>
      </c>
    </row>
    <row r="21">
      <c r="A21" s="4">
        <v>45841.0</v>
      </c>
      <c r="B21" s="5" t="s">
        <v>34</v>
      </c>
      <c r="C21" s="5" t="s">
        <v>42</v>
      </c>
      <c r="D21" s="5" t="s">
        <v>36</v>
      </c>
      <c r="E21" s="5">
        <v>1.0</v>
      </c>
      <c r="F21" s="5">
        <v>2.0</v>
      </c>
      <c r="G21" s="5">
        <v>3.0</v>
      </c>
    </row>
    <row r="22">
      <c r="A22" s="4">
        <v>45872.0</v>
      </c>
      <c r="B22" s="5" t="s">
        <v>34</v>
      </c>
      <c r="C22" s="5" t="s">
        <v>43</v>
      </c>
      <c r="D22" s="5" t="s">
        <v>36</v>
      </c>
      <c r="E22" s="5">
        <v>1.0</v>
      </c>
      <c r="F22" s="5">
        <v>2.0</v>
      </c>
      <c r="G22" s="5">
        <v>3.0</v>
      </c>
    </row>
    <row r="23">
      <c r="A23" s="4">
        <v>45661.0</v>
      </c>
      <c r="B23" s="5" t="s">
        <v>44</v>
      </c>
      <c r="C23" s="5" t="s">
        <v>45</v>
      </c>
      <c r="D23" s="5" t="s">
        <v>46</v>
      </c>
      <c r="E23" s="5">
        <v>0.5</v>
      </c>
      <c r="F23" s="5">
        <v>1.0</v>
      </c>
      <c r="G23" s="5">
        <v>2.0</v>
      </c>
    </row>
    <row r="24">
      <c r="A24" s="4">
        <v>45692.0</v>
      </c>
      <c r="B24" s="5" t="s">
        <v>44</v>
      </c>
      <c r="C24" s="5" t="s">
        <v>47</v>
      </c>
      <c r="D24" s="5" t="s">
        <v>46</v>
      </c>
      <c r="E24" s="5">
        <v>0.5</v>
      </c>
      <c r="F24" s="5">
        <v>1.0</v>
      </c>
      <c r="G24" s="5">
        <v>2.0</v>
      </c>
    </row>
    <row r="25">
      <c r="A25" s="4">
        <v>45720.0</v>
      </c>
      <c r="B25" s="5" t="s">
        <v>44</v>
      </c>
      <c r="C25" s="5" t="s">
        <v>48</v>
      </c>
      <c r="D25" s="5" t="s">
        <v>46</v>
      </c>
      <c r="E25" s="5">
        <v>1.0</v>
      </c>
      <c r="F25" s="5">
        <v>2.0</v>
      </c>
      <c r="G25" s="5">
        <v>3.0</v>
      </c>
    </row>
    <row r="26">
      <c r="A26" s="4">
        <v>45751.0</v>
      </c>
      <c r="B26" s="5" t="s">
        <v>44</v>
      </c>
      <c r="C26" s="5" t="s">
        <v>49</v>
      </c>
      <c r="D26" s="5" t="s">
        <v>46</v>
      </c>
      <c r="E26" s="5">
        <v>1.5</v>
      </c>
      <c r="F26" s="5">
        <v>3.0</v>
      </c>
      <c r="G26" s="5">
        <v>5.0</v>
      </c>
    </row>
    <row r="27">
      <c r="A27" s="4">
        <v>45781.0</v>
      </c>
      <c r="B27" s="5" t="s">
        <v>44</v>
      </c>
      <c r="C27" s="5" t="s">
        <v>50</v>
      </c>
      <c r="D27" s="5" t="s">
        <v>51</v>
      </c>
      <c r="E27" s="5">
        <v>0.5</v>
      </c>
      <c r="F27" s="5">
        <v>1.0</v>
      </c>
      <c r="G27" s="5">
        <v>2.0</v>
      </c>
    </row>
    <row r="28">
      <c r="A28" s="4">
        <v>45812.0</v>
      </c>
      <c r="B28" s="5" t="s">
        <v>44</v>
      </c>
      <c r="C28" s="5" t="s">
        <v>52</v>
      </c>
      <c r="D28" s="5" t="s">
        <v>51</v>
      </c>
      <c r="E28" s="5">
        <v>1.0</v>
      </c>
      <c r="F28" s="5">
        <v>2.0</v>
      </c>
      <c r="G28" s="5">
        <v>4.0</v>
      </c>
    </row>
    <row r="29">
      <c r="A29" s="4">
        <v>45842.0</v>
      </c>
      <c r="B29" s="5" t="s">
        <v>44</v>
      </c>
      <c r="C29" s="5" t="s">
        <v>53</v>
      </c>
      <c r="D29" s="5" t="s">
        <v>51</v>
      </c>
      <c r="E29" s="5">
        <v>1.0</v>
      </c>
      <c r="F29" s="5">
        <v>2.0</v>
      </c>
      <c r="G29" s="5">
        <v>3.0</v>
      </c>
    </row>
    <row r="30">
      <c r="A30" s="4">
        <v>45873.0</v>
      </c>
      <c r="B30" s="5" t="s">
        <v>44</v>
      </c>
      <c r="C30" s="5" t="s">
        <v>54</v>
      </c>
      <c r="D30" s="5" t="s">
        <v>51</v>
      </c>
      <c r="E30" s="5">
        <v>1.0</v>
      </c>
      <c r="F30" s="5">
        <v>2.0</v>
      </c>
      <c r="G30" s="5">
        <v>3.0</v>
      </c>
    </row>
    <row r="31">
      <c r="A31" s="4">
        <v>45662.0</v>
      </c>
      <c r="B31" s="5" t="s">
        <v>55</v>
      </c>
      <c r="C31" s="5" t="s">
        <v>56</v>
      </c>
      <c r="D31" s="5" t="s">
        <v>57</v>
      </c>
      <c r="E31" s="5">
        <v>1.0</v>
      </c>
      <c r="F31" s="5">
        <v>2.0</v>
      </c>
      <c r="G31" s="5">
        <v>3.0</v>
      </c>
    </row>
    <row r="32">
      <c r="A32" s="4">
        <v>45693.0</v>
      </c>
      <c r="B32" s="5" t="s">
        <v>55</v>
      </c>
      <c r="C32" s="5" t="s">
        <v>58</v>
      </c>
      <c r="D32" s="5" t="s">
        <v>57</v>
      </c>
      <c r="E32" s="5">
        <v>1.0</v>
      </c>
      <c r="F32" s="5">
        <v>2.0</v>
      </c>
      <c r="G32" s="5">
        <v>3.0</v>
      </c>
    </row>
    <row r="33">
      <c r="A33" s="4">
        <v>45721.0</v>
      </c>
      <c r="B33" s="5" t="s">
        <v>55</v>
      </c>
      <c r="C33" s="5" t="s">
        <v>59</v>
      </c>
      <c r="D33" s="5" t="s">
        <v>57</v>
      </c>
      <c r="E33" s="5">
        <v>1.5</v>
      </c>
      <c r="F33" s="5">
        <v>3.0</v>
      </c>
      <c r="G33" s="5">
        <v>5.0</v>
      </c>
    </row>
    <row r="34">
      <c r="A34" s="4">
        <v>45752.0</v>
      </c>
      <c r="B34" s="5" t="s">
        <v>55</v>
      </c>
      <c r="C34" s="5" t="s">
        <v>60</v>
      </c>
      <c r="D34" s="5" t="s">
        <v>57</v>
      </c>
      <c r="E34" s="5">
        <v>1.0</v>
      </c>
      <c r="F34" s="5">
        <v>2.0</v>
      </c>
      <c r="G34" s="5">
        <v>3.0</v>
      </c>
    </row>
    <row r="35">
      <c r="A35" s="4">
        <v>45782.0</v>
      </c>
      <c r="B35" s="5" t="s">
        <v>55</v>
      </c>
      <c r="C35" s="5" t="s">
        <v>61</v>
      </c>
      <c r="D35" s="5" t="s">
        <v>57</v>
      </c>
      <c r="E35" s="5">
        <v>0.5</v>
      </c>
      <c r="F35" s="5">
        <v>1.0</v>
      </c>
      <c r="G35" s="5">
        <v>2.0</v>
      </c>
    </row>
    <row r="36">
      <c r="A36" s="4">
        <v>45813.0</v>
      </c>
      <c r="B36" s="5" t="s">
        <v>55</v>
      </c>
      <c r="C36" s="5" t="s">
        <v>62</v>
      </c>
      <c r="D36" s="5" t="s">
        <v>57</v>
      </c>
      <c r="E36" s="5">
        <v>2.0</v>
      </c>
      <c r="F36" s="5">
        <v>4.0</v>
      </c>
      <c r="G36" s="5">
        <v>6.0</v>
      </c>
    </row>
    <row r="37">
      <c r="A37" s="4">
        <v>45843.0</v>
      </c>
      <c r="B37" s="5" t="s">
        <v>55</v>
      </c>
      <c r="C37" s="5" t="s">
        <v>63</v>
      </c>
      <c r="D37" s="5" t="s">
        <v>57</v>
      </c>
      <c r="E37" s="5">
        <v>1.0</v>
      </c>
      <c r="F37" s="5">
        <v>2.0</v>
      </c>
      <c r="G37" s="5">
        <v>4.0</v>
      </c>
    </row>
    <row r="38">
      <c r="A38" s="4">
        <v>45874.0</v>
      </c>
      <c r="B38" s="5" t="s">
        <v>55</v>
      </c>
      <c r="C38" s="5" t="s">
        <v>64</v>
      </c>
      <c r="D38" s="5" t="s">
        <v>57</v>
      </c>
      <c r="E38" s="5">
        <v>2.0</v>
      </c>
      <c r="F38" s="5">
        <v>4.0</v>
      </c>
      <c r="G38" s="5">
        <v>7.0</v>
      </c>
    </row>
    <row r="39">
      <c r="A39" s="4">
        <v>45905.0</v>
      </c>
      <c r="B39" s="5" t="s">
        <v>55</v>
      </c>
      <c r="C39" s="5" t="s">
        <v>65</v>
      </c>
      <c r="D39" s="5" t="s">
        <v>57</v>
      </c>
      <c r="E39" s="5">
        <v>2.0</v>
      </c>
      <c r="F39" s="5">
        <v>4.0</v>
      </c>
      <c r="G39" s="5">
        <v>7.0</v>
      </c>
    </row>
    <row r="40">
      <c r="A40" s="4">
        <v>45935.0</v>
      </c>
      <c r="B40" s="5" t="s">
        <v>55</v>
      </c>
      <c r="C40" s="5" t="s">
        <v>66</v>
      </c>
      <c r="D40" s="5" t="s">
        <v>57</v>
      </c>
      <c r="E40" s="5">
        <v>1.5</v>
      </c>
      <c r="F40" s="5">
        <v>3.0</v>
      </c>
      <c r="G40" s="5">
        <v>6.0</v>
      </c>
    </row>
    <row r="41">
      <c r="A41" s="4">
        <v>45663.0</v>
      </c>
      <c r="B41" s="5" t="s">
        <v>67</v>
      </c>
      <c r="C41" s="5" t="s">
        <v>68</v>
      </c>
      <c r="D41" s="5" t="s">
        <v>69</v>
      </c>
      <c r="E41" s="5">
        <v>1.0</v>
      </c>
      <c r="F41" s="5">
        <v>2.0</v>
      </c>
      <c r="G41" s="5">
        <v>3.0</v>
      </c>
    </row>
    <row r="42">
      <c r="A42" s="4">
        <v>45694.0</v>
      </c>
      <c r="B42" s="5" t="s">
        <v>67</v>
      </c>
      <c r="C42" s="5" t="s">
        <v>70</v>
      </c>
      <c r="D42" s="5" t="s">
        <v>69</v>
      </c>
      <c r="E42" s="5">
        <v>0.5</v>
      </c>
      <c r="F42" s="5">
        <v>1.0</v>
      </c>
      <c r="G42" s="5">
        <v>2.0</v>
      </c>
    </row>
    <row r="43">
      <c r="A43" s="4">
        <v>45722.0</v>
      </c>
      <c r="B43" s="5" t="s">
        <v>67</v>
      </c>
      <c r="C43" s="5" t="s">
        <v>71</v>
      </c>
      <c r="D43" s="5" t="s">
        <v>69</v>
      </c>
      <c r="E43" s="5">
        <v>1.5</v>
      </c>
      <c r="F43" s="5">
        <v>3.0</v>
      </c>
      <c r="G43" s="5">
        <v>5.0</v>
      </c>
    </row>
    <row r="44">
      <c r="A44" s="4">
        <v>45753.0</v>
      </c>
      <c r="B44" s="5" t="s">
        <v>67</v>
      </c>
      <c r="C44" s="5" t="s">
        <v>72</v>
      </c>
      <c r="D44" s="5" t="s">
        <v>69</v>
      </c>
      <c r="E44" s="5">
        <v>2.0</v>
      </c>
      <c r="F44" s="5">
        <v>4.0</v>
      </c>
      <c r="G44" s="5">
        <v>7.0</v>
      </c>
    </row>
    <row r="45">
      <c r="A45" s="4">
        <v>45783.0</v>
      </c>
      <c r="B45" s="5" t="s">
        <v>67</v>
      </c>
      <c r="C45" s="5" t="s">
        <v>73</v>
      </c>
      <c r="D45" s="5" t="s">
        <v>69</v>
      </c>
      <c r="E45" s="5">
        <v>1.5</v>
      </c>
      <c r="F45" s="5">
        <v>3.0</v>
      </c>
      <c r="G45" s="5">
        <v>5.0</v>
      </c>
    </row>
    <row r="46">
      <c r="A46" s="4">
        <v>45814.0</v>
      </c>
      <c r="B46" s="5" t="s">
        <v>67</v>
      </c>
      <c r="C46" s="5" t="s">
        <v>74</v>
      </c>
      <c r="D46" s="5" t="s">
        <v>69</v>
      </c>
      <c r="E46" s="5">
        <v>2.0</v>
      </c>
      <c r="F46" s="5">
        <v>4.0</v>
      </c>
      <c r="G46" s="5">
        <v>6.0</v>
      </c>
    </row>
    <row r="47">
      <c r="A47" s="4">
        <v>45844.0</v>
      </c>
      <c r="B47" s="5" t="s">
        <v>67</v>
      </c>
      <c r="C47" s="5" t="s">
        <v>75</v>
      </c>
      <c r="D47" s="5" t="s">
        <v>69</v>
      </c>
      <c r="E47" s="5">
        <v>1.0</v>
      </c>
      <c r="F47" s="5">
        <v>2.0</v>
      </c>
      <c r="G47" s="5">
        <v>4.0</v>
      </c>
    </row>
    <row r="48">
      <c r="A48" s="4">
        <v>45875.0</v>
      </c>
      <c r="B48" s="5" t="s">
        <v>67</v>
      </c>
      <c r="C48" s="5" t="s">
        <v>76</v>
      </c>
      <c r="D48" s="5" t="s">
        <v>69</v>
      </c>
      <c r="E48" s="5">
        <v>1.5</v>
      </c>
      <c r="F48" s="5">
        <v>3.0</v>
      </c>
      <c r="G48" s="5">
        <v>5.0</v>
      </c>
    </row>
    <row r="49">
      <c r="A49" s="4">
        <v>45906.0</v>
      </c>
      <c r="B49" s="5" t="s">
        <v>67</v>
      </c>
      <c r="C49" s="5" t="s">
        <v>77</v>
      </c>
      <c r="D49" s="5" t="s">
        <v>69</v>
      </c>
      <c r="E49" s="5">
        <v>1.0</v>
      </c>
      <c r="F49" s="5">
        <v>2.0</v>
      </c>
      <c r="G49" s="5">
        <v>3.0</v>
      </c>
    </row>
    <row r="50">
      <c r="A50" s="4">
        <v>45936.0</v>
      </c>
      <c r="B50" s="5" t="s">
        <v>67</v>
      </c>
      <c r="C50" s="5" t="s">
        <v>78</v>
      </c>
      <c r="D50" s="5" t="s">
        <v>69</v>
      </c>
      <c r="E50" s="5">
        <v>0.5</v>
      </c>
      <c r="F50" s="5">
        <v>1.5</v>
      </c>
      <c r="G50" s="5">
        <v>3.0</v>
      </c>
    </row>
    <row r="51">
      <c r="A51" s="4">
        <v>45967.0</v>
      </c>
      <c r="B51" s="5" t="s">
        <v>67</v>
      </c>
      <c r="C51" s="5" t="s">
        <v>79</v>
      </c>
      <c r="D51" s="5" t="s">
        <v>69</v>
      </c>
      <c r="E51" s="5">
        <v>1.0</v>
      </c>
      <c r="F51" s="5">
        <v>2.0</v>
      </c>
      <c r="G51" s="5">
        <v>3.0</v>
      </c>
    </row>
    <row r="52">
      <c r="A52" s="4">
        <v>45664.0</v>
      </c>
      <c r="B52" s="5" t="s">
        <v>80</v>
      </c>
      <c r="C52" s="5" t="s">
        <v>81</v>
      </c>
      <c r="D52" s="5" t="s">
        <v>82</v>
      </c>
      <c r="E52" s="5">
        <v>0.5</v>
      </c>
      <c r="F52" s="5">
        <v>1.0</v>
      </c>
      <c r="G52" s="5">
        <v>2.0</v>
      </c>
    </row>
    <row r="53">
      <c r="A53" s="4">
        <v>45695.0</v>
      </c>
      <c r="B53" s="5" t="s">
        <v>80</v>
      </c>
      <c r="C53" s="5" t="s">
        <v>83</v>
      </c>
      <c r="D53" s="5" t="s">
        <v>82</v>
      </c>
      <c r="E53" s="5">
        <v>1.0</v>
      </c>
      <c r="F53" s="5">
        <v>2.0</v>
      </c>
      <c r="G53" s="5">
        <v>4.0</v>
      </c>
    </row>
    <row r="54">
      <c r="A54" s="4">
        <v>45723.0</v>
      </c>
      <c r="B54" s="5" t="s">
        <v>80</v>
      </c>
      <c r="C54" s="5" t="s">
        <v>84</v>
      </c>
      <c r="D54" s="5" t="s">
        <v>82</v>
      </c>
      <c r="E54" s="5">
        <v>0.5</v>
      </c>
      <c r="F54" s="5">
        <v>1.0</v>
      </c>
      <c r="G54" s="5">
        <v>2.0</v>
      </c>
    </row>
    <row r="55">
      <c r="A55" s="4">
        <v>45754.0</v>
      </c>
      <c r="B55" s="5" t="s">
        <v>80</v>
      </c>
      <c r="C55" s="5" t="s">
        <v>85</v>
      </c>
      <c r="D55" s="5" t="s">
        <v>82</v>
      </c>
      <c r="E55" s="5">
        <v>2.0</v>
      </c>
      <c r="F55" s="5">
        <v>3.0</v>
      </c>
      <c r="G55" s="5">
        <v>5.0</v>
      </c>
    </row>
    <row r="56">
      <c r="A56" s="4">
        <v>45784.0</v>
      </c>
      <c r="B56" s="5" t="s">
        <v>80</v>
      </c>
      <c r="C56" s="5" t="s">
        <v>86</v>
      </c>
      <c r="D56" s="5" t="s">
        <v>82</v>
      </c>
      <c r="E56" s="5">
        <v>0.5</v>
      </c>
      <c r="F56" s="5">
        <v>1.0</v>
      </c>
      <c r="G56" s="5">
        <v>2.0</v>
      </c>
    </row>
    <row r="57">
      <c r="A57" s="4">
        <v>45815.0</v>
      </c>
      <c r="B57" s="5" t="s">
        <v>80</v>
      </c>
      <c r="C57" s="5" t="s">
        <v>87</v>
      </c>
      <c r="D57" s="5" t="s">
        <v>82</v>
      </c>
      <c r="E57" s="5">
        <v>0.5</v>
      </c>
      <c r="F57" s="5">
        <v>1.0</v>
      </c>
      <c r="G57" s="5">
        <v>2.0</v>
      </c>
    </row>
    <row r="58">
      <c r="A58" s="4">
        <v>45845.0</v>
      </c>
      <c r="B58" s="5" t="s">
        <v>80</v>
      </c>
      <c r="C58" s="5" t="s">
        <v>88</v>
      </c>
      <c r="D58" s="5" t="s">
        <v>82</v>
      </c>
      <c r="E58" s="5">
        <v>0.5</v>
      </c>
      <c r="F58" s="5">
        <v>1.0</v>
      </c>
      <c r="G58" s="5">
        <v>2.0</v>
      </c>
    </row>
    <row r="59">
      <c r="A59" s="4">
        <v>45876.0</v>
      </c>
      <c r="B59" s="5" t="s">
        <v>80</v>
      </c>
      <c r="C59" s="5" t="s">
        <v>89</v>
      </c>
      <c r="D59" s="5" t="s">
        <v>82</v>
      </c>
      <c r="E59" s="5">
        <v>1.0</v>
      </c>
      <c r="F59" s="5">
        <v>2.0</v>
      </c>
      <c r="G59" s="5">
        <v>4.0</v>
      </c>
    </row>
    <row r="60">
      <c r="A60" s="4">
        <v>45907.0</v>
      </c>
      <c r="B60" s="5" t="s">
        <v>80</v>
      </c>
      <c r="C60" s="5" t="s">
        <v>90</v>
      </c>
      <c r="D60" s="5" t="s">
        <v>82</v>
      </c>
      <c r="E60" s="5">
        <v>1.5</v>
      </c>
      <c r="F60" s="5">
        <v>3.0</v>
      </c>
      <c r="G60" s="5">
        <v>5.0</v>
      </c>
    </row>
    <row r="61">
      <c r="A61" s="4">
        <v>45937.0</v>
      </c>
      <c r="B61" s="5" t="s">
        <v>80</v>
      </c>
      <c r="C61" s="5" t="s">
        <v>91</v>
      </c>
      <c r="D61" s="5" t="s">
        <v>82</v>
      </c>
      <c r="E61" s="5">
        <v>0.5</v>
      </c>
      <c r="F61" s="5">
        <v>1.0</v>
      </c>
      <c r="G61" s="5">
        <v>2.0</v>
      </c>
    </row>
    <row r="62">
      <c r="A62" s="4">
        <v>45968.0</v>
      </c>
      <c r="B62" s="5" t="s">
        <v>80</v>
      </c>
      <c r="C62" s="5" t="s">
        <v>92</v>
      </c>
      <c r="D62" s="5" t="s">
        <v>82</v>
      </c>
      <c r="E62" s="5">
        <v>1.0</v>
      </c>
      <c r="F62" s="5">
        <v>2.0</v>
      </c>
      <c r="G62" s="5">
        <v>3.0</v>
      </c>
    </row>
    <row r="63">
      <c r="A63" s="4">
        <v>45665.0</v>
      </c>
      <c r="B63" s="5" t="s">
        <v>93</v>
      </c>
      <c r="C63" s="5" t="s">
        <v>94</v>
      </c>
      <c r="D63" s="5" t="s">
        <v>95</v>
      </c>
      <c r="E63" s="5">
        <v>1.0</v>
      </c>
      <c r="F63" s="5">
        <v>2.0</v>
      </c>
      <c r="G63" s="5">
        <v>3.0</v>
      </c>
    </row>
    <row r="64">
      <c r="A64" s="4">
        <v>45696.0</v>
      </c>
      <c r="B64" s="5" t="s">
        <v>93</v>
      </c>
      <c r="C64" s="5" t="s">
        <v>96</v>
      </c>
      <c r="D64" s="5" t="s">
        <v>95</v>
      </c>
      <c r="E64" s="5">
        <v>1.0</v>
      </c>
      <c r="F64" s="5">
        <v>3.0</v>
      </c>
      <c r="G64" s="5">
        <v>4.0</v>
      </c>
    </row>
    <row r="65">
      <c r="A65" s="4">
        <v>45724.0</v>
      </c>
      <c r="B65" s="5" t="s">
        <v>93</v>
      </c>
      <c r="C65" s="5" t="s">
        <v>97</v>
      </c>
      <c r="D65" s="5" t="s">
        <v>95</v>
      </c>
      <c r="E65" s="5">
        <v>2.0</v>
      </c>
      <c r="F65" s="5">
        <v>4.0</v>
      </c>
      <c r="G65" s="5">
        <v>6.0</v>
      </c>
    </row>
    <row r="66">
      <c r="A66" s="4">
        <v>45755.0</v>
      </c>
      <c r="B66" s="5" t="s">
        <v>93</v>
      </c>
      <c r="C66" s="5" t="s">
        <v>98</v>
      </c>
      <c r="D66" s="5" t="s">
        <v>95</v>
      </c>
      <c r="E66" s="5">
        <v>2.0</v>
      </c>
      <c r="F66" s="5">
        <v>4.0</v>
      </c>
      <c r="G66" s="5">
        <v>6.0</v>
      </c>
    </row>
    <row r="67">
      <c r="A67" s="4">
        <v>45785.0</v>
      </c>
      <c r="B67" s="5" t="s">
        <v>93</v>
      </c>
      <c r="C67" s="5" t="s">
        <v>99</v>
      </c>
      <c r="D67" s="5" t="s">
        <v>95</v>
      </c>
      <c r="E67" s="5">
        <v>2.0</v>
      </c>
      <c r="F67" s="5">
        <v>3.0</v>
      </c>
      <c r="G67" s="5">
        <v>4.0</v>
      </c>
    </row>
    <row r="68">
      <c r="A68" s="4">
        <v>45816.0</v>
      </c>
      <c r="B68" s="5" t="s">
        <v>93</v>
      </c>
      <c r="C68" s="5" t="s">
        <v>100</v>
      </c>
      <c r="D68" s="5" t="s">
        <v>51</v>
      </c>
      <c r="E68" s="5">
        <v>0.5</v>
      </c>
      <c r="F68" s="5">
        <v>1.0</v>
      </c>
      <c r="G68" s="5">
        <v>2.0</v>
      </c>
    </row>
    <row r="69">
      <c r="A69" s="4">
        <v>45846.0</v>
      </c>
      <c r="B69" s="5" t="s">
        <v>93</v>
      </c>
      <c r="C69" s="5" t="s">
        <v>101</v>
      </c>
      <c r="D69" s="5" t="s">
        <v>102</v>
      </c>
      <c r="E69" s="5">
        <v>1.0</v>
      </c>
      <c r="F69" s="5">
        <v>2.0</v>
      </c>
      <c r="G69" s="5">
        <v>3.0</v>
      </c>
    </row>
    <row r="70">
      <c r="A70" s="4">
        <v>45877.0</v>
      </c>
      <c r="B70" s="5" t="s">
        <v>93</v>
      </c>
      <c r="C70" s="5" t="s">
        <v>103</v>
      </c>
      <c r="D70" s="5" t="s">
        <v>102</v>
      </c>
      <c r="E70" s="5">
        <v>0.5</v>
      </c>
      <c r="F70" s="5">
        <v>1.0</v>
      </c>
      <c r="G70" s="5">
        <v>2.0</v>
      </c>
    </row>
    <row r="71">
      <c r="A71" s="4">
        <v>45908.0</v>
      </c>
      <c r="B71" s="5" t="s">
        <v>93</v>
      </c>
      <c r="C71" s="5" t="s">
        <v>104</v>
      </c>
      <c r="D71" s="5" t="s">
        <v>12</v>
      </c>
      <c r="E71" s="5">
        <v>1.0</v>
      </c>
      <c r="F71" s="5">
        <v>1.5</v>
      </c>
      <c r="G71" s="5">
        <v>2.5</v>
      </c>
    </row>
    <row r="74">
      <c r="A74" s="1"/>
      <c r="B74" s="1"/>
      <c r="C74" s="1"/>
      <c r="D74" s="1"/>
      <c r="E74" s="1"/>
      <c r="F74" s="1"/>
      <c r="G74" s="1"/>
    </row>
    <row r="75">
      <c r="A75" s="4"/>
    </row>
    <row r="76">
      <c r="A76" s="4"/>
      <c r="G76" s="4"/>
    </row>
    <row r="77">
      <c r="A77" s="4"/>
    </row>
    <row r="78">
      <c r="A78" s="4"/>
    </row>
    <row r="79">
      <c r="A79" s="4"/>
      <c r="G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  <c r="G85" s="4"/>
    </row>
    <row r="86">
      <c r="A86" s="4"/>
      <c r="G86" s="4"/>
    </row>
    <row r="87">
      <c r="A87" s="4"/>
    </row>
    <row r="88">
      <c r="A88" s="4"/>
      <c r="G88" s="4"/>
    </row>
    <row r="89">
      <c r="A89" s="4"/>
      <c r="G89" s="4"/>
    </row>
    <row r="90">
      <c r="A90" s="4"/>
    </row>
    <row r="91">
      <c r="A91" s="4"/>
      <c r="G91" s="4"/>
    </row>
    <row r="92">
      <c r="A92" s="4"/>
    </row>
    <row r="93">
      <c r="A93" s="4"/>
    </row>
    <row r="94">
      <c r="A94" s="4"/>
    </row>
    <row r="95">
      <c r="A95" s="4"/>
      <c r="G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  <c r="G101" s="4"/>
    </row>
    <row r="102">
      <c r="A102" s="4"/>
      <c r="G102" s="4"/>
    </row>
    <row r="103">
      <c r="A103" s="4"/>
      <c r="G103" s="4"/>
    </row>
    <row r="104">
      <c r="A104" s="4"/>
      <c r="G104" s="4"/>
    </row>
    <row r="105">
      <c r="A105" s="4"/>
      <c r="G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  <c r="G110" s="4"/>
    </row>
    <row r="111">
      <c r="A111" s="4"/>
    </row>
    <row r="112">
      <c r="A112" s="4"/>
      <c r="F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  <c r="F117" s="4"/>
      <c r="G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  <c r="F122" s="4"/>
      <c r="G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  <c r="F128" s="4"/>
      <c r="G128" s="4"/>
    </row>
    <row r="129">
      <c r="A129" s="4"/>
    </row>
    <row r="130">
      <c r="A130" s="4"/>
      <c r="F130" s="4"/>
      <c r="G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  <c r="G136" s="4"/>
    </row>
    <row r="137">
      <c r="A137" s="4"/>
      <c r="F137" s="4"/>
      <c r="G137" s="4"/>
    </row>
    <row r="138">
      <c r="A138" s="4"/>
      <c r="F138" s="4"/>
      <c r="G138" s="4"/>
    </row>
    <row r="139">
      <c r="A139" s="4"/>
      <c r="F139" s="4"/>
      <c r="G139" s="4"/>
    </row>
    <row r="140">
      <c r="A140" s="4"/>
    </row>
    <row r="141">
      <c r="A141" s="4"/>
      <c r="G141" s="4"/>
    </row>
    <row r="142">
      <c r="A142" s="4"/>
    </row>
    <row r="143">
      <c r="A143" s="4"/>
      <c r="G143" s="4"/>
    </row>
    <row r="144">
      <c r="A144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87.0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105</v>
      </c>
      <c r="F1" s="1" t="s">
        <v>106</v>
      </c>
      <c r="G1" s="1" t="s">
        <v>107</v>
      </c>
    </row>
    <row r="2">
      <c r="A2" s="4">
        <v>45658.0</v>
      </c>
      <c r="B2" s="5" t="s">
        <v>10</v>
      </c>
      <c r="C2" s="5" t="s">
        <v>11</v>
      </c>
      <c r="D2" s="5" t="s">
        <v>12</v>
      </c>
      <c r="E2" s="5">
        <v>1.0</v>
      </c>
      <c r="F2" s="5">
        <v>1.5</v>
      </c>
      <c r="G2" s="5">
        <v>2.0</v>
      </c>
    </row>
    <row r="3">
      <c r="A3" s="4">
        <v>45689.0</v>
      </c>
      <c r="B3" s="5" t="s">
        <v>10</v>
      </c>
      <c r="C3" s="5" t="s">
        <v>14</v>
      </c>
      <c r="D3" s="5" t="s">
        <v>12</v>
      </c>
      <c r="E3" s="5">
        <v>1.0</v>
      </c>
      <c r="F3" s="5">
        <v>1.5</v>
      </c>
      <c r="G3" s="5">
        <v>2.0</v>
      </c>
    </row>
    <row r="4">
      <c r="A4" s="4">
        <v>45717.0</v>
      </c>
      <c r="B4" s="5" t="s">
        <v>10</v>
      </c>
      <c r="C4" s="5" t="s">
        <v>16</v>
      </c>
      <c r="D4" s="5" t="s">
        <v>12</v>
      </c>
      <c r="E4" s="5">
        <v>1.0</v>
      </c>
      <c r="F4" s="5">
        <v>1.5</v>
      </c>
      <c r="G4" s="5">
        <v>2.0</v>
      </c>
    </row>
    <row r="5">
      <c r="A5" s="4">
        <v>45748.0</v>
      </c>
      <c r="B5" s="5" t="s">
        <v>10</v>
      </c>
      <c r="C5" s="5" t="s">
        <v>18</v>
      </c>
      <c r="D5" s="5" t="s">
        <v>12</v>
      </c>
      <c r="E5" s="5">
        <v>0.5</v>
      </c>
      <c r="F5" s="5">
        <v>1.0</v>
      </c>
      <c r="G5" s="5">
        <v>1.5</v>
      </c>
    </row>
    <row r="6">
      <c r="A6" s="4">
        <v>45778.0</v>
      </c>
      <c r="B6" s="5" t="s">
        <v>10</v>
      </c>
      <c r="C6" s="5" t="s">
        <v>20</v>
      </c>
      <c r="D6" s="5" t="s">
        <v>12</v>
      </c>
      <c r="E6" s="5">
        <v>1.0</v>
      </c>
      <c r="F6" s="5">
        <v>1.5</v>
      </c>
      <c r="G6" s="5">
        <v>2.0</v>
      </c>
    </row>
    <row r="7">
      <c r="A7" s="4">
        <v>45809.0</v>
      </c>
      <c r="B7" s="5" t="s">
        <v>10</v>
      </c>
      <c r="C7" s="5" t="s">
        <v>21</v>
      </c>
      <c r="D7" s="5" t="s">
        <v>12</v>
      </c>
      <c r="E7" s="5">
        <v>1.0</v>
      </c>
      <c r="F7" s="5">
        <v>1.5</v>
      </c>
      <c r="G7" s="5">
        <v>2.0</v>
      </c>
    </row>
    <row r="8">
      <c r="A8" s="4">
        <v>45659.0</v>
      </c>
      <c r="B8" s="5" t="s">
        <v>23</v>
      </c>
      <c r="C8" s="5" t="s">
        <v>24</v>
      </c>
      <c r="D8" s="5" t="s">
        <v>25</v>
      </c>
      <c r="E8" s="5">
        <v>0.5</v>
      </c>
      <c r="F8" s="5">
        <v>1.0</v>
      </c>
      <c r="G8" s="5">
        <v>1.5</v>
      </c>
    </row>
    <row r="9">
      <c r="A9" s="4">
        <v>45690.0</v>
      </c>
      <c r="B9" s="5" t="s">
        <v>23</v>
      </c>
      <c r="C9" s="5" t="s">
        <v>27</v>
      </c>
      <c r="D9" s="5" t="s">
        <v>25</v>
      </c>
      <c r="E9" s="5">
        <v>1.0</v>
      </c>
      <c r="F9" s="5">
        <v>1.5</v>
      </c>
      <c r="G9" s="5">
        <v>2.0</v>
      </c>
    </row>
    <row r="10">
      <c r="A10" s="4">
        <v>45718.0</v>
      </c>
      <c r="B10" s="5" t="s">
        <v>23</v>
      </c>
      <c r="C10" s="5" t="s">
        <v>28</v>
      </c>
      <c r="D10" s="5" t="s">
        <v>25</v>
      </c>
      <c r="E10" s="5">
        <v>1.0</v>
      </c>
      <c r="F10" s="5">
        <v>1.5</v>
      </c>
      <c r="G10" s="5">
        <v>2.0</v>
      </c>
    </row>
    <row r="11">
      <c r="A11" s="4">
        <v>45749.0</v>
      </c>
      <c r="B11" s="5" t="s">
        <v>23</v>
      </c>
      <c r="C11" s="5" t="s">
        <v>30</v>
      </c>
      <c r="D11" s="5" t="s">
        <v>25</v>
      </c>
      <c r="E11" s="5">
        <v>0.5</v>
      </c>
      <c r="F11" s="5">
        <v>1.0</v>
      </c>
      <c r="G11" s="5">
        <v>1.5</v>
      </c>
    </row>
    <row r="12">
      <c r="A12" s="4">
        <v>45779.0</v>
      </c>
      <c r="B12" s="5" t="s">
        <v>23</v>
      </c>
      <c r="C12" s="5" t="s">
        <v>31</v>
      </c>
      <c r="D12" s="5" t="s">
        <v>25</v>
      </c>
      <c r="E12" s="5">
        <v>1.0</v>
      </c>
      <c r="F12" s="5">
        <v>1.5</v>
      </c>
      <c r="G12" s="5">
        <v>2.0</v>
      </c>
    </row>
    <row r="13">
      <c r="A13" s="4">
        <v>45810.0</v>
      </c>
      <c r="B13" s="5" t="s">
        <v>23</v>
      </c>
      <c r="C13" s="5" t="s">
        <v>32</v>
      </c>
      <c r="D13" s="5" t="s">
        <v>25</v>
      </c>
      <c r="E13" s="5">
        <v>1.0</v>
      </c>
      <c r="F13" s="5">
        <v>1.5</v>
      </c>
      <c r="G13" s="5">
        <v>2.0</v>
      </c>
    </row>
    <row r="14">
      <c r="A14" s="4">
        <v>45840.0</v>
      </c>
      <c r="B14" s="5" t="s">
        <v>23</v>
      </c>
      <c r="C14" s="5" t="s">
        <v>33</v>
      </c>
      <c r="D14" s="5" t="s">
        <v>12</v>
      </c>
      <c r="E14" s="5">
        <v>1.0</v>
      </c>
      <c r="F14" s="5">
        <v>1.5</v>
      </c>
      <c r="G14" s="5">
        <v>2.0</v>
      </c>
    </row>
    <row r="15">
      <c r="A15" s="4">
        <v>45660.0</v>
      </c>
      <c r="B15" s="5" t="s">
        <v>34</v>
      </c>
      <c r="C15" s="5" t="s">
        <v>35</v>
      </c>
      <c r="D15" s="5" t="s">
        <v>36</v>
      </c>
      <c r="E15" s="5">
        <v>0.5</v>
      </c>
      <c r="F15" s="5">
        <v>1.0</v>
      </c>
      <c r="G15" s="5">
        <v>1.5</v>
      </c>
    </row>
    <row r="16">
      <c r="A16" s="4">
        <v>45691.0</v>
      </c>
      <c r="B16" s="5" t="s">
        <v>34</v>
      </c>
      <c r="C16" s="5" t="s">
        <v>37</v>
      </c>
      <c r="D16" s="5" t="s">
        <v>36</v>
      </c>
      <c r="E16" s="5">
        <v>0.5</v>
      </c>
      <c r="F16" s="5">
        <v>1.0</v>
      </c>
      <c r="G16" s="5">
        <v>1.5</v>
      </c>
    </row>
    <row r="17">
      <c r="A17" s="4">
        <v>45719.0</v>
      </c>
      <c r="B17" s="5" t="s">
        <v>34</v>
      </c>
      <c r="C17" s="5" t="s">
        <v>38</v>
      </c>
      <c r="D17" s="5" t="s">
        <v>36</v>
      </c>
      <c r="E17" s="5">
        <v>0.5</v>
      </c>
      <c r="F17" s="5">
        <v>1.0</v>
      </c>
      <c r="G17" s="5">
        <v>1.5</v>
      </c>
    </row>
    <row r="18">
      <c r="A18" s="4">
        <v>45750.0</v>
      </c>
      <c r="B18" s="5" t="s">
        <v>34</v>
      </c>
      <c r="C18" s="5" t="s">
        <v>39</v>
      </c>
      <c r="D18" s="5" t="s">
        <v>36</v>
      </c>
      <c r="E18" s="5">
        <v>1.0</v>
      </c>
      <c r="F18" s="5">
        <v>1.5</v>
      </c>
      <c r="G18" s="5">
        <v>2.0</v>
      </c>
    </row>
    <row r="19">
      <c r="A19" s="4">
        <v>45780.0</v>
      </c>
      <c r="B19" s="5" t="s">
        <v>34</v>
      </c>
      <c r="C19" s="5" t="s">
        <v>40</v>
      </c>
      <c r="D19" s="5" t="s">
        <v>36</v>
      </c>
      <c r="E19" s="5">
        <v>2.0</v>
      </c>
      <c r="F19" s="5">
        <v>2.5</v>
      </c>
      <c r="G19" s="5">
        <v>3.0</v>
      </c>
    </row>
    <row r="20">
      <c r="A20" s="4">
        <v>45811.0</v>
      </c>
      <c r="B20" s="5" t="s">
        <v>34</v>
      </c>
      <c r="C20" s="5" t="s">
        <v>41</v>
      </c>
      <c r="D20" s="5" t="s">
        <v>36</v>
      </c>
      <c r="E20" s="5">
        <v>2.0</v>
      </c>
      <c r="F20" s="5">
        <v>2.5</v>
      </c>
      <c r="G20" s="5">
        <v>3.0</v>
      </c>
    </row>
    <row r="21">
      <c r="A21" s="4">
        <v>45841.0</v>
      </c>
      <c r="B21" s="5" t="s">
        <v>34</v>
      </c>
      <c r="C21" s="5" t="s">
        <v>42</v>
      </c>
      <c r="D21" s="5" t="s">
        <v>36</v>
      </c>
      <c r="E21" s="5">
        <v>2.0</v>
      </c>
      <c r="F21" s="5">
        <v>2.5</v>
      </c>
      <c r="G21" s="5">
        <v>3.0</v>
      </c>
    </row>
    <row r="22">
      <c r="A22" s="4">
        <v>45872.0</v>
      </c>
      <c r="B22" s="5" t="s">
        <v>34</v>
      </c>
      <c r="C22" s="5" t="s">
        <v>43</v>
      </c>
      <c r="D22" s="5" t="s">
        <v>36</v>
      </c>
      <c r="E22" s="5">
        <v>1.0</v>
      </c>
      <c r="F22" s="5">
        <v>1.5</v>
      </c>
      <c r="G22" s="5">
        <v>2.0</v>
      </c>
    </row>
    <row r="23">
      <c r="A23" s="4">
        <v>45661.0</v>
      </c>
      <c r="B23" s="5" t="s">
        <v>44</v>
      </c>
      <c r="C23" s="5" t="s">
        <v>45</v>
      </c>
      <c r="D23" s="5" t="s">
        <v>46</v>
      </c>
      <c r="E23" s="5">
        <v>1.0</v>
      </c>
      <c r="F23" s="5">
        <v>1.5</v>
      </c>
      <c r="G23" s="5">
        <v>2.0</v>
      </c>
    </row>
    <row r="24">
      <c r="A24" s="4">
        <v>45692.0</v>
      </c>
      <c r="B24" s="5" t="s">
        <v>44</v>
      </c>
      <c r="C24" s="5" t="s">
        <v>47</v>
      </c>
      <c r="D24" s="5" t="s">
        <v>46</v>
      </c>
      <c r="E24" s="5">
        <v>1.0</v>
      </c>
      <c r="F24" s="5">
        <v>1.5</v>
      </c>
      <c r="G24" s="5">
        <v>2.0</v>
      </c>
    </row>
    <row r="25">
      <c r="A25" s="4">
        <v>45720.0</v>
      </c>
      <c r="B25" s="5" t="s">
        <v>44</v>
      </c>
      <c r="C25" s="5" t="s">
        <v>48</v>
      </c>
      <c r="D25" s="5" t="s">
        <v>46</v>
      </c>
      <c r="E25" s="5">
        <v>2.0</v>
      </c>
      <c r="F25" s="5">
        <v>3.0</v>
      </c>
      <c r="G25" s="5">
        <v>4.0</v>
      </c>
    </row>
    <row r="26">
      <c r="A26" s="4">
        <v>45751.0</v>
      </c>
      <c r="B26" s="5" t="s">
        <v>44</v>
      </c>
      <c r="C26" s="5" t="s">
        <v>49</v>
      </c>
      <c r="D26" s="5" t="s">
        <v>46</v>
      </c>
      <c r="E26" s="5">
        <v>2.0</v>
      </c>
      <c r="F26" s="5">
        <v>3.0</v>
      </c>
      <c r="G26" s="5">
        <v>4.0</v>
      </c>
    </row>
    <row r="27">
      <c r="A27" s="4">
        <v>45781.0</v>
      </c>
      <c r="B27" s="5" t="s">
        <v>44</v>
      </c>
      <c r="C27" s="5" t="s">
        <v>50</v>
      </c>
      <c r="D27" s="5" t="s">
        <v>51</v>
      </c>
      <c r="E27" s="5">
        <v>1.0</v>
      </c>
      <c r="F27" s="5">
        <v>2.0</v>
      </c>
      <c r="G27" s="5">
        <v>3.0</v>
      </c>
    </row>
    <row r="28">
      <c r="A28" s="4">
        <v>45812.0</v>
      </c>
      <c r="B28" s="5" t="s">
        <v>44</v>
      </c>
      <c r="C28" s="5" t="s">
        <v>52</v>
      </c>
      <c r="D28" s="5" t="s">
        <v>51</v>
      </c>
      <c r="E28" s="5">
        <v>1.0</v>
      </c>
      <c r="F28" s="5">
        <v>2.0</v>
      </c>
      <c r="G28" s="5">
        <v>3.0</v>
      </c>
    </row>
    <row r="29">
      <c r="A29" s="4">
        <v>45842.0</v>
      </c>
      <c r="B29" s="5" t="s">
        <v>44</v>
      </c>
      <c r="C29" s="5" t="s">
        <v>53</v>
      </c>
      <c r="D29" s="5" t="s">
        <v>51</v>
      </c>
      <c r="E29" s="5">
        <v>1.0</v>
      </c>
      <c r="F29" s="5">
        <v>1.5</v>
      </c>
      <c r="G29" s="5">
        <v>2.0</v>
      </c>
    </row>
    <row r="30">
      <c r="A30" s="4">
        <v>45873.0</v>
      </c>
      <c r="B30" s="5" t="s">
        <v>44</v>
      </c>
      <c r="C30" s="5" t="s">
        <v>54</v>
      </c>
      <c r="D30" s="5" t="s">
        <v>51</v>
      </c>
      <c r="E30" s="5">
        <v>1.0</v>
      </c>
      <c r="F30" s="5">
        <v>1.5</v>
      </c>
      <c r="G30" s="5">
        <v>2.0</v>
      </c>
    </row>
    <row r="31">
      <c r="A31" s="4">
        <v>45662.0</v>
      </c>
      <c r="B31" s="5" t="s">
        <v>55</v>
      </c>
      <c r="C31" s="5" t="s">
        <v>56</v>
      </c>
      <c r="D31" s="5" t="s">
        <v>57</v>
      </c>
      <c r="E31" s="5">
        <v>1.0</v>
      </c>
      <c r="F31" s="5">
        <v>1.5</v>
      </c>
      <c r="G31" s="5">
        <v>2.0</v>
      </c>
    </row>
    <row r="32">
      <c r="A32" s="4">
        <v>45693.0</v>
      </c>
      <c r="B32" s="5" t="s">
        <v>55</v>
      </c>
      <c r="C32" s="5" t="s">
        <v>58</v>
      </c>
      <c r="D32" s="5" t="s">
        <v>57</v>
      </c>
      <c r="E32" s="5">
        <v>1.0</v>
      </c>
      <c r="F32" s="5">
        <v>2.0</v>
      </c>
      <c r="G32" s="5">
        <v>3.0</v>
      </c>
    </row>
    <row r="33">
      <c r="A33" s="4">
        <v>45721.0</v>
      </c>
      <c r="B33" s="5" t="s">
        <v>55</v>
      </c>
      <c r="C33" s="5" t="s">
        <v>59</v>
      </c>
      <c r="D33" s="5" t="s">
        <v>57</v>
      </c>
      <c r="E33" s="5">
        <v>2.0</v>
      </c>
      <c r="F33" s="5">
        <v>3.0</v>
      </c>
      <c r="G33" s="5">
        <v>4.0</v>
      </c>
    </row>
    <row r="34">
      <c r="A34" s="4">
        <v>45752.0</v>
      </c>
      <c r="B34" s="5" t="s">
        <v>55</v>
      </c>
      <c r="C34" s="5" t="s">
        <v>60</v>
      </c>
      <c r="D34" s="5" t="s">
        <v>57</v>
      </c>
      <c r="E34" s="5">
        <v>2.0</v>
      </c>
      <c r="F34" s="5">
        <v>2.5</v>
      </c>
      <c r="G34" s="5">
        <v>3.0</v>
      </c>
    </row>
    <row r="35">
      <c r="A35" s="4">
        <v>45782.0</v>
      </c>
      <c r="B35" s="5" t="s">
        <v>55</v>
      </c>
      <c r="C35" s="5" t="s">
        <v>61</v>
      </c>
      <c r="D35" s="5" t="s">
        <v>57</v>
      </c>
      <c r="E35" s="5">
        <v>2.0</v>
      </c>
      <c r="F35" s="5">
        <v>2.5</v>
      </c>
      <c r="G35" s="5">
        <v>3.0</v>
      </c>
    </row>
    <row r="36">
      <c r="A36" s="4">
        <v>45813.0</v>
      </c>
      <c r="B36" s="5" t="s">
        <v>55</v>
      </c>
      <c r="C36" s="5" t="s">
        <v>62</v>
      </c>
      <c r="D36" s="5" t="s">
        <v>57</v>
      </c>
      <c r="E36" s="5">
        <v>2.0</v>
      </c>
      <c r="F36" s="5">
        <v>2.5</v>
      </c>
      <c r="G36" s="5">
        <v>3.0</v>
      </c>
    </row>
    <row r="37">
      <c r="A37" s="4">
        <v>45843.0</v>
      </c>
      <c r="B37" s="5" t="s">
        <v>55</v>
      </c>
      <c r="C37" s="5" t="s">
        <v>63</v>
      </c>
      <c r="D37" s="5" t="s">
        <v>57</v>
      </c>
      <c r="E37" s="5">
        <v>2.0</v>
      </c>
      <c r="F37" s="5">
        <v>2.5</v>
      </c>
      <c r="G37" s="5">
        <v>3.0</v>
      </c>
    </row>
    <row r="38">
      <c r="A38" s="4">
        <v>45874.0</v>
      </c>
      <c r="B38" s="5" t="s">
        <v>55</v>
      </c>
      <c r="C38" s="5" t="s">
        <v>64</v>
      </c>
      <c r="D38" s="5" t="s">
        <v>57</v>
      </c>
      <c r="E38" s="5">
        <v>2.0</v>
      </c>
      <c r="F38" s="5">
        <v>3.0</v>
      </c>
      <c r="G38" s="5">
        <v>4.0</v>
      </c>
    </row>
    <row r="39">
      <c r="A39" s="4">
        <v>45905.0</v>
      </c>
      <c r="B39" s="5" t="s">
        <v>55</v>
      </c>
      <c r="C39" s="5" t="s">
        <v>65</v>
      </c>
      <c r="D39" s="5" t="s">
        <v>57</v>
      </c>
      <c r="E39" s="5">
        <v>1.0</v>
      </c>
      <c r="F39" s="5">
        <v>1.5</v>
      </c>
      <c r="G39" s="5">
        <v>2.0</v>
      </c>
    </row>
    <row r="40">
      <c r="A40" s="4">
        <v>45935.0</v>
      </c>
      <c r="B40" s="5" t="s">
        <v>55</v>
      </c>
      <c r="C40" s="5" t="s">
        <v>66</v>
      </c>
      <c r="D40" s="5" t="s">
        <v>57</v>
      </c>
      <c r="E40" s="5">
        <v>1.0</v>
      </c>
      <c r="F40" s="5">
        <v>1.5</v>
      </c>
      <c r="G40" s="5">
        <v>2.0</v>
      </c>
    </row>
    <row r="41">
      <c r="A41" s="4">
        <v>45663.0</v>
      </c>
      <c r="B41" s="5" t="s">
        <v>67</v>
      </c>
      <c r="C41" s="5" t="s">
        <v>68</v>
      </c>
      <c r="D41" s="5" t="s">
        <v>69</v>
      </c>
      <c r="E41" s="5">
        <v>1.0</v>
      </c>
      <c r="F41" s="5">
        <v>1.5</v>
      </c>
      <c r="G41" s="5">
        <v>2.0</v>
      </c>
    </row>
    <row r="42">
      <c r="A42" s="4">
        <v>45694.0</v>
      </c>
      <c r="B42" s="5" t="s">
        <v>67</v>
      </c>
      <c r="C42" s="5" t="s">
        <v>70</v>
      </c>
      <c r="D42" s="5" t="s">
        <v>69</v>
      </c>
      <c r="E42" s="5">
        <v>1.0</v>
      </c>
      <c r="F42" s="5">
        <v>1.5</v>
      </c>
      <c r="G42" s="5">
        <v>2.0</v>
      </c>
    </row>
    <row r="43">
      <c r="A43" s="4">
        <v>45722.0</v>
      </c>
      <c r="B43" s="5" t="s">
        <v>67</v>
      </c>
      <c r="C43" s="5" t="s">
        <v>71</v>
      </c>
      <c r="D43" s="5" t="s">
        <v>69</v>
      </c>
      <c r="E43" s="5">
        <v>1.0</v>
      </c>
      <c r="F43" s="5">
        <v>1.5</v>
      </c>
      <c r="G43" s="5">
        <v>2.0</v>
      </c>
    </row>
    <row r="44">
      <c r="A44" s="4">
        <v>45753.0</v>
      </c>
      <c r="B44" s="5" t="s">
        <v>67</v>
      </c>
      <c r="C44" s="5" t="s">
        <v>72</v>
      </c>
      <c r="D44" s="5" t="s">
        <v>69</v>
      </c>
      <c r="E44" s="5">
        <v>1.0</v>
      </c>
      <c r="F44" s="5">
        <v>1.5</v>
      </c>
      <c r="G44" s="5">
        <v>2.0</v>
      </c>
    </row>
    <row r="45">
      <c r="A45" s="4">
        <v>45783.0</v>
      </c>
      <c r="B45" s="5" t="s">
        <v>67</v>
      </c>
      <c r="C45" s="5" t="s">
        <v>73</v>
      </c>
      <c r="D45" s="5" t="s">
        <v>69</v>
      </c>
      <c r="E45" s="5">
        <v>1.0</v>
      </c>
      <c r="F45" s="5">
        <v>1.5</v>
      </c>
      <c r="G45" s="5">
        <v>2.0</v>
      </c>
    </row>
    <row r="46">
      <c r="A46" s="4">
        <v>45814.0</v>
      </c>
      <c r="B46" s="5" t="s">
        <v>67</v>
      </c>
      <c r="C46" s="5" t="s">
        <v>74</v>
      </c>
      <c r="D46" s="5" t="s">
        <v>69</v>
      </c>
      <c r="E46" s="5">
        <v>1.0</v>
      </c>
      <c r="F46" s="5">
        <v>1.5</v>
      </c>
      <c r="G46" s="5">
        <v>2.0</v>
      </c>
    </row>
    <row r="47">
      <c r="A47" s="4">
        <v>45844.0</v>
      </c>
      <c r="B47" s="5" t="s">
        <v>67</v>
      </c>
      <c r="C47" s="5" t="s">
        <v>75</v>
      </c>
      <c r="D47" s="5" t="s">
        <v>69</v>
      </c>
      <c r="E47" s="5">
        <v>1.0</v>
      </c>
      <c r="F47" s="5">
        <v>1.5</v>
      </c>
      <c r="G47" s="5">
        <v>2.0</v>
      </c>
    </row>
    <row r="48">
      <c r="A48" s="4">
        <v>45875.0</v>
      </c>
      <c r="B48" s="5" t="s">
        <v>67</v>
      </c>
      <c r="C48" s="5" t="s">
        <v>76</v>
      </c>
      <c r="D48" s="5" t="s">
        <v>69</v>
      </c>
      <c r="E48" s="5">
        <v>1.0</v>
      </c>
      <c r="F48" s="5">
        <v>1.5</v>
      </c>
      <c r="G48" s="5">
        <v>2.0</v>
      </c>
    </row>
    <row r="49">
      <c r="A49" s="4">
        <v>45906.0</v>
      </c>
      <c r="B49" s="5" t="s">
        <v>67</v>
      </c>
      <c r="C49" s="5" t="s">
        <v>77</v>
      </c>
      <c r="D49" s="5" t="s">
        <v>69</v>
      </c>
      <c r="E49" s="5">
        <v>1.0</v>
      </c>
      <c r="F49" s="5">
        <v>1.5</v>
      </c>
      <c r="G49" s="5">
        <v>2.0</v>
      </c>
    </row>
    <row r="50">
      <c r="A50" s="4">
        <v>45936.0</v>
      </c>
      <c r="B50" s="5" t="s">
        <v>67</v>
      </c>
      <c r="C50" s="5" t="s">
        <v>78</v>
      </c>
      <c r="D50" s="5" t="s">
        <v>69</v>
      </c>
      <c r="E50" s="5">
        <v>1.0</v>
      </c>
      <c r="F50" s="5">
        <v>1.5</v>
      </c>
      <c r="G50" s="5">
        <v>2.0</v>
      </c>
    </row>
    <row r="51">
      <c r="A51" s="4">
        <v>45967.0</v>
      </c>
      <c r="B51" s="5" t="s">
        <v>67</v>
      </c>
      <c r="C51" s="5" t="s">
        <v>79</v>
      </c>
      <c r="D51" s="5" t="s">
        <v>69</v>
      </c>
      <c r="E51" s="5">
        <v>1.0</v>
      </c>
      <c r="F51" s="5">
        <v>1.5</v>
      </c>
      <c r="G51" s="5">
        <v>2.0</v>
      </c>
    </row>
    <row r="52">
      <c r="A52" s="4">
        <v>45664.0</v>
      </c>
      <c r="B52" s="5" t="s">
        <v>80</v>
      </c>
      <c r="C52" s="5" t="s">
        <v>81</v>
      </c>
      <c r="D52" s="5" t="s">
        <v>82</v>
      </c>
      <c r="E52" s="5">
        <v>1.0</v>
      </c>
      <c r="F52" s="5">
        <v>1.5</v>
      </c>
      <c r="G52" s="5">
        <v>2.0</v>
      </c>
    </row>
    <row r="53">
      <c r="A53" s="4">
        <v>45695.0</v>
      </c>
      <c r="B53" s="5" t="s">
        <v>80</v>
      </c>
      <c r="C53" s="5" t="s">
        <v>83</v>
      </c>
      <c r="D53" s="5" t="s">
        <v>82</v>
      </c>
      <c r="E53" s="5">
        <v>0.5</v>
      </c>
      <c r="F53" s="5">
        <v>1.0</v>
      </c>
      <c r="G53" s="5">
        <v>1.5</v>
      </c>
    </row>
    <row r="54">
      <c r="A54" s="4">
        <v>45723.0</v>
      </c>
      <c r="B54" s="5" t="s">
        <v>80</v>
      </c>
      <c r="C54" s="5" t="s">
        <v>84</v>
      </c>
      <c r="D54" s="5" t="s">
        <v>82</v>
      </c>
      <c r="E54" s="5">
        <v>0.5</v>
      </c>
      <c r="F54" s="5">
        <v>1.0</v>
      </c>
      <c r="G54" s="5">
        <v>1.5</v>
      </c>
    </row>
    <row r="55">
      <c r="A55" s="4">
        <v>45754.0</v>
      </c>
      <c r="B55" s="5" t="s">
        <v>80</v>
      </c>
      <c r="C55" s="5" t="s">
        <v>85</v>
      </c>
      <c r="D55" s="5" t="s">
        <v>82</v>
      </c>
      <c r="E55" s="5">
        <v>0.5</v>
      </c>
      <c r="F55" s="5">
        <v>1.0</v>
      </c>
      <c r="G55" s="5">
        <v>1.5</v>
      </c>
    </row>
    <row r="56">
      <c r="A56" s="4">
        <v>45784.0</v>
      </c>
      <c r="B56" s="5" t="s">
        <v>80</v>
      </c>
      <c r="C56" s="5" t="s">
        <v>86</v>
      </c>
      <c r="D56" s="5" t="s">
        <v>82</v>
      </c>
      <c r="E56" s="5">
        <v>0.5</v>
      </c>
      <c r="F56" s="5">
        <v>1.0</v>
      </c>
      <c r="G56" s="5">
        <v>1.5</v>
      </c>
    </row>
    <row r="57">
      <c r="A57" s="4">
        <v>45815.0</v>
      </c>
      <c r="B57" s="5" t="s">
        <v>80</v>
      </c>
      <c r="C57" s="5" t="s">
        <v>87</v>
      </c>
      <c r="D57" s="5" t="s">
        <v>82</v>
      </c>
      <c r="E57" s="5">
        <v>0.5</v>
      </c>
      <c r="F57" s="5">
        <v>1.0</v>
      </c>
      <c r="G57" s="5">
        <v>1.5</v>
      </c>
    </row>
    <row r="58">
      <c r="A58" s="4">
        <v>45845.0</v>
      </c>
      <c r="B58" s="5" t="s">
        <v>80</v>
      </c>
      <c r="C58" s="5" t="s">
        <v>88</v>
      </c>
      <c r="D58" s="5" t="s">
        <v>82</v>
      </c>
      <c r="E58" s="5">
        <v>0.5</v>
      </c>
      <c r="F58" s="5">
        <v>1.0</v>
      </c>
      <c r="G58" s="5">
        <v>1.5</v>
      </c>
    </row>
    <row r="59">
      <c r="A59" s="4">
        <v>45876.0</v>
      </c>
      <c r="B59" s="5" t="s">
        <v>80</v>
      </c>
      <c r="C59" s="5" t="s">
        <v>89</v>
      </c>
      <c r="D59" s="5" t="s">
        <v>82</v>
      </c>
      <c r="E59" s="5">
        <v>0.5</v>
      </c>
      <c r="F59" s="5">
        <v>1.0</v>
      </c>
      <c r="G59" s="5">
        <v>1.5</v>
      </c>
    </row>
    <row r="60">
      <c r="A60" s="4">
        <v>45907.0</v>
      </c>
      <c r="B60" s="5" t="s">
        <v>80</v>
      </c>
      <c r="C60" s="5" t="s">
        <v>90</v>
      </c>
      <c r="D60" s="5" t="s">
        <v>82</v>
      </c>
      <c r="E60" s="5">
        <v>0.5</v>
      </c>
      <c r="F60" s="5">
        <v>1.0</v>
      </c>
      <c r="G60" s="5">
        <v>1.5</v>
      </c>
    </row>
    <row r="61">
      <c r="A61" s="4">
        <v>45937.0</v>
      </c>
      <c r="B61" s="5" t="s">
        <v>80</v>
      </c>
      <c r="C61" s="5" t="s">
        <v>91</v>
      </c>
      <c r="D61" s="5" t="s">
        <v>82</v>
      </c>
      <c r="E61" s="5">
        <v>0.5</v>
      </c>
      <c r="F61" s="5">
        <v>1.0</v>
      </c>
      <c r="G61" s="5">
        <v>1.5</v>
      </c>
    </row>
    <row r="62">
      <c r="A62" s="4">
        <v>45968.0</v>
      </c>
      <c r="B62" s="5" t="s">
        <v>80</v>
      </c>
      <c r="C62" s="5" t="s">
        <v>92</v>
      </c>
      <c r="D62" s="5" t="s">
        <v>82</v>
      </c>
      <c r="E62" s="5">
        <v>0.5</v>
      </c>
      <c r="F62" s="5">
        <v>1.0</v>
      </c>
      <c r="G62" s="5">
        <v>1.5</v>
      </c>
    </row>
    <row r="63">
      <c r="A63" s="4">
        <v>45665.0</v>
      </c>
      <c r="B63" s="5" t="s">
        <v>93</v>
      </c>
      <c r="C63" s="5" t="s">
        <v>94</v>
      </c>
      <c r="D63" s="5" t="s">
        <v>95</v>
      </c>
      <c r="E63" s="5">
        <v>0.5</v>
      </c>
      <c r="F63" s="5">
        <v>1.0</v>
      </c>
      <c r="G63" s="5">
        <v>1.5</v>
      </c>
    </row>
    <row r="64">
      <c r="A64" s="4">
        <v>45696.0</v>
      </c>
      <c r="B64" s="5" t="s">
        <v>93</v>
      </c>
      <c r="C64" s="5" t="s">
        <v>96</v>
      </c>
      <c r="D64" s="5" t="s">
        <v>95</v>
      </c>
      <c r="E64" s="5">
        <v>0.5</v>
      </c>
      <c r="F64" s="5">
        <v>1.0</v>
      </c>
      <c r="G64" s="5">
        <v>1.5</v>
      </c>
    </row>
    <row r="65">
      <c r="A65" s="4">
        <v>45724.0</v>
      </c>
      <c r="B65" s="5" t="s">
        <v>93</v>
      </c>
      <c r="C65" s="5" t="s">
        <v>97</v>
      </c>
      <c r="D65" s="5" t="s">
        <v>95</v>
      </c>
      <c r="E65" s="5">
        <v>1.0</v>
      </c>
      <c r="F65" s="5">
        <v>1.5</v>
      </c>
      <c r="G65" s="5">
        <v>2.0</v>
      </c>
    </row>
    <row r="66">
      <c r="A66" s="4">
        <v>45755.0</v>
      </c>
      <c r="B66" s="5" t="s">
        <v>93</v>
      </c>
      <c r="C66" s="5" t="s">
        <v>98</v>
      </c>
      <c r="D66" s="5" t="s">
        <v>95</v>
      </c>
      <c r="E66" s="5">
        <v>0.5</v>
      </c>
      <c r="F66" s="5">
        <v>1.0</v>
      </c>
      <c r="G66" s="5">
        <v>1.5</v>
      </c>
    </row>
    <row r="67">
      <c r="A67" s="4">
        <v>45785.0</v>
      </c>
      <c r="B67" s="5" t="s">
        <v>93</v>
      </c>
      <c r="C67" s="5" t="s">
        <v>99</v>
      </c>
      <c r="D67" s="5" t="s">
        <v>95</v>
      </c>
      <c r="E67" s="5">
        <v>0.5</v>
      </c>
      <c r="F67" s="5">
        <v>1.0</v>
      </c>
      <c r="G67" s="5">
        <v>1.5</v>
      </c>
    </row>
    <row r="68">
      <c r="A68" s="4">
        <v>45816.0</v>
      </c>
      <c r="B68" s="5" t="s">
        <v>93</v>
      </c>
      <c r="C68" s="5" t="s">
        <v>100</v>
      </c>
      <c r="D68" s="5" t="s">
        <v>51</v>
      </c>
      <c r="E68" s="5">
        <v>1.0</v>
      </c>
      <c r="F68" s="5">
        <v>1.5</v>
      </c>
      <c r="G68" s="5">
        <v>2.0</v>
      </c>
    </row>
    <row r="69">
      <c r="A69" s="4">
        <v>45846.0</v>
      </c>
      <c r="B69" s="5" t="s">
        <v>93</v>
      </c>
      <c r="C69" s="5" t="s">
        <v>101</v>
      </c>
      <c r="D69" s="5" t="s">
        <v>102</v>
      </c>
      <c r="E69" s="5">
        <v>1.0</v>
      </c>
      <c r="F69" s="5">
        <v>1.5</v>
      </c>
      <c r="G69" s="5">
        <v>2.0</v>
      </c>
    </row>
    <row r="70">
      <c r="A70" s="4">
        <v>45877.0</v>
      </c>
      <c r="B70" s="5" t="s">
        <v>93</v>
      </c>
      <c r="C70" s="5" t="s">
        <v>103</v>
      </c>
      <c r="D70" s="5" t="s">
        <v>102</v>
      </c>
      <c r="E70" s="5">
        <v>1.0</v>
      </c>
      <c r="F70" s="5">
        <v>1.5</v>
      </c>
      <c r="G70" s="5">
        <v>2.0</v>
      </c>
    </row>
    <row r="71">
      <c r="A71" s="4">
        <v>45908.0</v>
      </c>
      <c r="B71" s="5" t="s">
        <v>93</v>
      </c>
      <c r="C71" s="5" t="s">
        <v>104</v>
      </c>
      <c r="D71" s="5" t="s">
        <v>12</v>
      </c>
      <c r="E71" s="5">
        <v>1.0</v>
      </c>
      <c r="F71" s="5">
        <v>1.5</v>
      </c>
      <c r="G71" s="5">
        <v>2.0</v>
      </c>
    </row>
    <row r="74">
      <c r="A74" s="1"/>
      <c r="B74" s="1"/>
      <c r="C74" s="1"/>
      <c r="D74" s="1"/>
      <c r="E74" s="1"/>
      <c r="F74" s="1"/>
      <c r="G74" s="1"/>
    </row>
    <row r="75">
      <c r="A75" s="4"/>
    </row>
    <row r="76">
      <c r="A76" s="4"/>
      <c r="G76" s="4"/>
    </row>
    <row r="77">
      <c r="A77" s="4"/>
    </row>
    <row r="78">
      <c r="A78" s="4"/>
    </row>
    <row r="79">
      <c r="A79" s="4"/>
      <c r="G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  <c r="G85" s="4"/>
    </row>
    <row r="86">
      <c r="A86" s="4"/>
      <c r="G86" s="4"/>
    </row>
    <row r="87">
      <c r="A87" s="4"/>
    </row>
    <row r="88">
      <c r="A88" s="4"/>
      <c r="G88" s="4"/>
    </row>
    <row r="89">
      <c r="A89" s="4"/>
      <c r="G89" s="4"/>
    </row>
    <row r="90">
      <c r="A90" s="4"/>
    </row>
    <row r="91">
      <c r="A91" s="4"/>
      <c r="G91" s="4"/>
    </row>
    <row r="92">
      <c r="A92" s="4"/>
    </row>
    <row r="93">
      <c r="A93" s="4"/>
    </row>
    <row r="94">
      <c r="A94" s="4"/>
    </row>
    <row r="95">
      <c r="A95" s="4"/>
      <c r="G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  <c r="G101" s="4"/>
    </row>
    <row r="102">
      <c r="A102" s="4"/>
      <c r="G102" s="4"/>
    </row>
    <row r="103">
      <c r="A103" s="4"/>
      <c r="G103" s="4"/>
    </row>
    <row r="104">
      <c r="A104" s="4"/>
      <c r="G104" s="4"/>
    </row>
    <row r="105">
      <c r="A105" s="4"/>
      <c r="G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  <c r="G110" s="4"/>
    </row>
    <row r="111">
      <c r="A111" s="4"/>
    </row>
    <row r="112">
      <c r="A112" s="4"/>
      <c r="F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  <c r="F117" s="4"/>
      <c r="G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  <c r="F122" s="4"/>
      <c r="G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  <c r="F128" s="4"/>
      <c r="G128" s="4"/>
    </row>
    <row r="129">
      <c r="A129" s="4"/>
    </row>
    <row r="130">
      <c r="A130" s="4"/>
      <c r="F130" s="4"/>
      <c r="G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  <c r="G136" s="4"/>
    </row>
    <row r="137">
      <c r="A137" s="4"/>
      <c r="F137" s="4"/>
      <c r="G137" s="4"/>
    </row>
    <row r="138">
      <c r="A138" s="4"/>
      <c r="F138" s="4"/>
      <c r="G138" s="4"/>
    </row>
    <row r="139">
      <c r="A139" s="4"/>
      <c r="F139" s="4"/>
      <c r="G139" s="4"/>
    </row>
    <row r="140">
      <c r="A140" s="4"/>
    </row>
    <row r="141">
      <c r="A141" s="4"/>
      <c r="G141" s="4"/>
    </row>
    <row r="142">
      <c r="A142" s="4"/>
    </row>
    <row r="143">
      <c r="A143" s="4"/>
      <c r="G143" s="4"/>
    </row>
    <row r="144">
      <c r="A144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87.0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105</v>
      </c>
      <c r="F1" s="1" t="s">
        <v>106</v>
      </c>
      <c r="G1" s="1" t="s">
        <v>107</v>
      </c>
    </row>
    <row r="2">
      <c r="A2" s="4">
        <v>45658.0</v>
      </c>
      <c r="B2" s="5" t="s">
        <v>10</v>
      </c>
      <c r="C2" s="5" t="s">
        <v>11</v>
      </c>
      <c r="D2" s="5" t="s">
        <v>12</v>
      </c>
      <c r="E2" s="5">
        <v>0.5</v>
      </c>
      <c r="F2" s="5">
        <v>1.0</v>
      </c>
      <c r="G2" s="5">
        <v>2.0</v>
      </c>
    </row>
    <row r="3">
      <c r="A3" s="4">
        <v>45689.0</v>
      </c>
      <c r="B3" s="5" t="s">
        <v>10</v>
      </c>
      <c r="C3" s="5" t="s">
        <v>14</v>
      </c>
      <c r="D3" s="5" t="s">
        <v>12</v>
      </c>
      <c r="E3" s="5">
        <v>0.5</v>
      </c>
      <c r="F3" s="5">
        <v>1.0</v>
      </c>
      <c r="G3" s="5">
        <v>2.0</v>
      </c>
    </row>
    <row r="4">
      <c r="A4" s="4">
        <v>45717.0</v>
      </c>
      <c r="B4" s="5" t="s">
        <v>10</v>
      </c>
      <c r="C4" s="5" t="s">
        <v>16</v>
      </c>
      <c r="D4" s="5" t="s">
        <v>12</v>
      </c>
      <c r="E4" s="5">
        <v>1.0</v>
      </c>
      <c r="F4" s="5">
        <v>2.0</v>
      </c>
      <c r="G4" s="5">
        <v>4.0</v>
      </c>
    </row>
    <row r="5">
      <c r="A5" s="4">
        <v>45748.0</v>
      </c>
      <c r="B5" s="5" t="s">
        <v>10</v>
      </c>
      <c r="C5" s="5" t="s">
        <v>18</v>
      </c>
      <c r="D5" s="5" t="s">
        <v>12</v>
      </c>
      <c r="E5" s="5">
        <v>0.5</v>
      </c>
      <c r="F5" s="5">
        <v>1.0</v>
      </c>
      <c r="G5" s="5">
        <v>2.0</v>
      </c>
    </row>
    <row r="6">
      <c r="A6" s="4">
        <v>45778.0</v>
      </c>
      <c r="B6" s="5" t="s">
        <v>10</v>
      </c>
      <c r="C6" s="5" t="s">
        <v>20</v>
      </c>
      <c r="D6" s="5" t="s">
        <v>12</v>
      </c>
      <c r="E6" s="5">
        <v>1.0</v>
      </c>
      <c r="F6" s="5">
        <v>2.0</v>
      </c>
      <c r="G6" s="5">
        <v>3.0</v>
      </c>
    </row>
    <row r="7">
      <c r="A7" s="4">
        <v>45809.0</v>
      </c>
      <c r="B7" s="5" t="s">
        <v>10</v>
      </c>
      <c r="C7" s="5" t="s">
        <v>21</v>
      </c>
      <c r="D7" s="5" t="s">
        <v>12</v>
      </c>
      <c r="E7" s="5">
        <v>2.0</v>
      </c>
      <c r="F7" s="5">
        <v>3.0</v>
      </c>
      <c r="G7" s="5">
        <v>5.0</v>
      </c>
    </row>
    <row r="8">
      <c r="A8" s="4">
        <v>45659.0</v>
      </c>
      <c r="B8" s="5" t="s">
        <v>23</v>
      </c>
      <c r="C8" s="5" t="s">
        <v>24</v>
      </c>
      <c r="D8" s="5" t="s">
        <v>25</v>
      </c>
      <c r="E8" s="5">
        <v>1.0</v>
      </c>
      <c r="F8" s="5">
        <v>2.0</v>
      </c>
      <c r="G8" s="5">
        <v>4.0</v>
      </c>
    </row>
    <row r="9">
      <c r="A9" s="4">
        <v>45690.0</v>
      </c>
      <c r="B9" s="5" t="s">
        <v>23</v>
      </c>
      <c r="C9" s="5" t="s">
        <v>27</v>
      </c>
      <c r="D9" s="5" t="s">
        <v>25</v>
      </c>
      <c r="E9" s="5">
        <v>0.5</v>
      </c>
      <c r="F9" s="5">
        <v>1.0</v>
      </c>
      <c r="G9" s="5">
        <v>2.0</v>
      </c>
    </row>
    <row r="10">
      <c r="A10" s="4">
        <v>45718.0</v>
      </c>
      <c r="B10" s="5" t="s">
        <v>23</v>
      </c>
      <c r="C10" s="5" t="s">
        <v>28</v>
      </c>
      <c r="D10" s="5" t="s">
        <v>25</v>
      </c>
      <c r="E10" s="5">
        <v>1.0</v>
      </c>
      <c r="F10" s="5">
        <v>2.0</v>
      </c>
      <c r="G10" s="5">
        <v>3.0</v>
      </c>
    </row>
    <row r="11">
      <c r="A11" s="4">
        <v>45749.0</v>
      </c>
      <c r="B11" s="5" t="s">
        <v>23</v>
      </c>
      <c r="C11" s="5" t="s">
        <v>30</v>
      </c>
      <c r="D11" s="5" t="s">
        <v>25</v>
      </c>
      <c r="E11" s="5">
        <v>0.5</v>
      </c>
      <c r="F11" s="5">
        <v>1.0</v>
      </c>
      <c r="G11" s="5">
        <v>2.0</v>
      </c>
    </row>
    <row r="12">
      <c r="A12" s="4">
        <v>45779.0</v>
      </c>
      <c r="B12" s="5" t="s">
        <v>23</v>
      </c>
      <c r="C12" s="5" t="s">
        <v>31</v>
      </c>
      <c r="D12" s="5" t="s">
        <v>25</v>
      </c>
      <c r="E12" s="5">
        <v>2.0</v>
      </c>
      <c r="F12" s="5">
        <v>4.0</v>
      </c>
      <c r="G12" s="5">
        <v>6.0</v>
      </c>
    </row>
    <row r="13">
      <c r="A13" s="4">
        <v>45810.0</v>
      </c>
      <c r="B13" s="5" t="s">
        <v>23</v>
      </c>
      <c r="C13" s="5" t="s">
        <v>32</v>
      </c>
      <c r="D13" s="5" t="s">
        <v>25</v>
      </c>
      <c r="E13" s="5">
        <v>0.5</v>
      </c>
      <c r="F13" s="5">
        <v>1.0</v>
      </c>
      <c r="G13" s="5">
        <v>2.0</v>
      </c>
    </row>
    <row r="14">
      <c r="A14" s="4">
        <v>45840.0</v>
      </c>
      <c r="B14" s="5" t="s">
        <v>23</v>
      </c>
      <c r="C14" s="5" t="s">
        <v>33</v>
      </c>
      <c r="D14" s="5" t="s">
        <v>12</v>
      </c>
      <c r="E14" s="5">
        <v>1.0</v>
      </c>
      <c r="F14" s="5">
        <v>2.0</v>
      </c>
      <c r="G14" s="5">
        <v>4.0</v>
      </c>
    </row>
    <row r="15">
      <c r="A15" s="4">
        <v>45660.0</v>
      </c>
      <c r="B15" s="5" t="s">
        <v>34</v>
      </c>
      <c r="C15" s="5" t="s">
        <v>35</v>
      </c>
      <c r="D15" s="5" t="s">
        <v>36</v>
      </c>
      <c r="E15" s="5">
        <v>0.5</v>
      </c>
      <c r="F15" s="5">
        <v>1.0</v>
      </c>
      <c r="G15" s="5">
        <v>2.0</v>
      </c>
    </row>
    <row r="16">
      <c r="A16" s="4">
        <v>45691.0</v>
      </c>
      <c r="B16" s="5" t="s">
        <v>34</v>
      </c>
      <c r="C16" s="5" t="s">
        <v>37</v>
      </c>
      <c r="D16" s="5" t="s">
        <v>36</v>
      </c>
      <c r="E16" s="5">
        <v>0.5</v>
      </c>
      <c r="F16" s="5">
        <v>1.0</v>
      </c>
      <c r="G16" s="5">
        <v>2.0</v>
      </c>
    </row>
    <row r="17">
      <c r="A17" s="4">
        <v>45719.0</v>
      </c>
      <c r="B17" s="5" t="s">
        <v>34</v>
      </c>
      <c r="C17" s="5" t="s">
        <v>38</v>
      </c>
      <c r="D17" s="5" t="s">
        <v>36</v>
      </c>
      <c r="E17" s="5">
        <v>0.5</v>
      </c>
      <c r="F17" s="5">
        <v>1.0</v>
      </c>
      <c r="G17" s="5">
        <v>2.0</v>
      </c>
    </row>
    <row r="18">
      <c r="A18" s="4">
        <v>45750.0</v>
      </c>
      <c r="B18" s="5" t="s">
        <v>34</v>
      </c>
      <c r="C18" s="5" t="s">
        <v>39</v>
      </c>
      <c r="D18" s="5" t="s">
        <v>36</v>
      </c>
      <c r="E18" s="5">
        <v>0.5</v>
      </c>
      <c r="F18" s="5">
        <v>1.0</v>
      </c>
      <c r="G18" s="5">
        <v>2.0</v>
      </c>
    </row>
    <row r="19">
      <c r="A19" s="4">
        <v>45780.0</v>
      </c>
      <c r="B19" s="5" t="s">
        <v>34</v>
      </c>
      <c r="C19" s="5" t="s">
        <v>40</v>
      </c>
      <c r="D19" s="5" t="s">
        <v>36</v>
      </c>
      <c r="E19" s="5">
        <v>0.5</v>
      </c>
      <c r="F19" s="5">
        <v>1.0</v>
      </c>
      <c r="G19" s="5">
        <v>2.0</v>
      </c>
    </row>
    <row r="20">
      <c r="A20" s="4">
        <v>45811.0</v>
      </c>
      <c r="B20" s="5" t="s">
        <v>34</v>
      </c>
      <c r="C20" s="5" t="s">
        <v>41</v>
      </c>
      <c r="D20" s="5" t="s">
        <v>36</v>
      </c>
      <c r="E20" s="5">
        <v>0.5</v>
      </c>
      <c r="F20" s="5">
        <v>1.0</v>
      </c>
      <c r="G20" s="5">
        <v>2.0</v>
      </c>
    </row>
    <row r="21">
      <c r="A21" s="4">
        <v>45841.0</v>
      </c>
      <c r="B21" s="5" t="s">
        <v>34</v>
      </c>
      <c r="C21" s="5" t="s">
        <v>42</v>
      </c>
      <c r="D21" s="5" t="s">
        <v>36</v>
      </c>
      <c r="E21" s="5">
        <v>0.5</v>
      </c>
      <c r="F21" s="5">
        <v>1.0</v>
      </c>
      <c r="G21" s="5">
        <v>2.0</v>
      </c>
    </row>
    <row r="22">
      <c r="A22" s="4">
        <v>45872.0</v>
      </c>
      <c r="B22" s="5" t="s">
        <v>34</v>
      </c>
      <c r="C22" s="5" t="s">
        <v>43</v>
      </c>
      <c r="D22" s="5" t="s">
        <v>36</v>
      </c>
      <c r="E22" s="5">
        <v>1.0</v>
      </c>
      <c r="F22" s="5">
        <v>2.0</v>
      </c>
      <c r="G22" s="5">
        <v>3.0</v>
      </c>
    </row>
    <row r="23">
      <c r="A23" s="4">
        <v>45661.0</v>
      </c>
      <c r="B23" s="5" t="s">
        <v>44</v>
      </c>
      <c r="C23" s="5" t="s">
        <v>45</v>
      </c>
      <c r="D23" s="5" t="s">
        <v>46</v>
      </c>
      <c r="E23" s="5">
        <v>0.5</v>
      </c>
      <c r="F23" s="5">
        <v>1.0</v>
      </c>
      <c r="G23" s="5">
        <v>2.0</v>
      </c>
    </row>
    <row r="24">
      <c r="A24" s="4">
        <v>45692.0</v>
      </c>
      <c r="B24" s="5" t="s">
        <v>44</v>
      </c>
      <c r="C24" s="5" t="s">
        <v>47</v>
      </c>
      <c r="D24" s="5" t="s">
        <v>46</v>
      </c>
      <c r="E24" s="5">
        <v>2.0</v>
      </c>
      <c r="F24" s="5">
        <v>4.0</v>
      </c>
      <c r="G24" s="5">
        <v>8.0</v>
      </c>
    </row>
    <row r="25">
      <c r="A25" s="4">
        <v>45720.0</v>
      </c>
      <c r="B25" s="5" t="s">
        <v>44</v>
      </c>
      <c r="C25" s="5" t="s">
        <v>48</v>
      </c>
      <c r="D25" s="5" t="s">
        <v>46</v>
      </c>
      <c r="E25" s="5">
        <v>2.0</v>
      </c>
      <c r="F25" s="5">
        <v>4.0</v>
      </c>
      <c r="G25" s="5">
        <v>6.0</v>
      </c>
    </row>
    <row r="26">
      <c r="A26" s="4">
        <v>45751.0</v>
      </c>
      <c r="B26" s="5" t="s">
        <v>44</v>
      </c>
      <c r="C26" s="5" t="s">
        <v>49</v>
      </c>
      <c r="D26" s="5" t="s">
        <v>46</v>
      </c>
      <c r="E26" s="5">
        <v>1.0</v>
      </c>
      <c r="F26" s="5">
        <v>2.0</v>
      </c>
      <c r="G26" s="5">
        <v>3.0</v>
      </c>
    </row>
    <row r="27">
      <c r="A27" s="4">
        <v>45781.0</v>
      </c>
      <c r="B27" s="5" t="s">
        <v>44</v>
      </c>
      <c r="C27" s="5" t="s">
        <v>50</v>
      </c>
      <c r="D27" s="5" t="s">
        <v>51</v>
      </c>
      <c r="E27" s="5">
        <v>1.0</v>
      </c>
      <c r="F27" s="5">
        <v>2.0</v>
      </c>
      <c r="G27" s="5">
        <v>4.0</v>
      </c>
    </row>
    <row r="28">
      <c r="A28" s="4">
        <v>45812.0</v>
      </c>
      <c r="B28" s="5" t="s">
        <v>44</v>
      </c>
      <c r="C28" s="5" t="s">
        <v>52</v>
      </c>
      <c r="D28" s="5" t="s">
        <v>51</v>
      </c>
      <c r="E28" s="5">
        <v>1.0</v>
      </c>
      <c r="F28" s="5">
        <v>2.0</v>
      </c>
      <c r="G28" s="5">
        <v>4.0</v>
      </c>
    </row>
    <row r="29">
      <c r="A29" s="4">
        <v>45842.0</v>
      </c>
      <c r="B29" s="5" t="s">
        <v>44</v>
      </c>
      <c r="C29" s="5" t="s">
        <v>53</v>
      </c>
      <c r="D29" s="5" t="s">
        <v>51</v>
      </c>
      <c r="E29" s="5">
        <v>3.0</v>
      </c>
      <c r="F29" s="5">
        <v>5.0</v>
      </c>
      <c r="G29" s="5">
        <v>8.0</v>
      </c>
    </row>
    <row r="30">
      <c r="A30" s="4">
        <v>45873.0</v>
      </c>
      <c r="B30" s="5" t="s">
        <v>44</v>
      </c>
      <c r="C30" s="5" t="s">
        <v>54</v>
      </c>
      <c r="D30" s="5" t="s">
        <v>51</v>
      </c>
      <c r="E30" s="5">
        <v>2.0</v>
      </c>
      <c r="F30" s="5">
        <v>3.0</v>
      </c>
      <c r="G30" s="5">
        <v>5.0</v>
      </c>
    </row>
    <row r="31">
      <c r="A31" s="4">
        <v>45662.0</v>
      </c>
      <c r="B31" s="5" t="s">
        <v>55</v>
      </c>
      <c r="C31" s="5" t="s">
        <v>56</v>
      </c>
      <c r="D31" s="5" t="s">
        <v>57</v>
      </c>
      <c r="E31" s="5">
        <v>2.0</v>
      </c>
      <c r="F31" s="5">
        <v>3.0</v>
      </c>
      <c r="G31" s="5">
        <v>5.0</v>
      </c>
    </row>
    <row r="32">
      <c r="A32" s="4">
        <v>45693.0</v>
      </c>
      <c r="B32" s="5" t="s">
        <v>55</v>
      </c>
      <c r="C32" s="5" t="s">
        <v>58</v>
      </c>
      <c r="D32" s="5" t="s">
        <v>57</v>
      </c>
      <c r="E32" s="5">
        <v>1.0</v>
      </c>
      <c r="F32" s="5">
        <v>2.0</v>
      </c>
      <c r="G32" s="5">
        <v>3.0</v>
      </c>
    </row>
    <row r="33">
      <c r="A33" s="4">
        <v>45721.0</v>
      </c>
      <c r="B33" s="5" t="s">
        <v>55</v>
      </c>
      <c r="C33" s="5" t="s">
        <v>59</v>
      </c>
      <c r="D33" s="5" t="s">
        <v>57</v>
      </c>
      <c r="E33" s="5">
        <v>2.0</v>
      </c>
      <c r="F33" s="5">
        <v>4.0</v>
      </c>
      <c r="G33" s="5">
        <v>5.0</v>
      </c>
    </row>
    <row r="34">
      <c r="A34" s="4">
        <v>45752.0</v>
      </c>
      <c r="B34" s="5" t="s">
        <v>55</v>
      </c>
      <c r="C34" s="5" t="s">
        <v>60</v>
      </c>
      <c r="D34" s="5" t="s">
        <v>57</v>
      </c>
      <c r="E34" s="5">
        <v>0.5</v>
      </c>
      <c r="F34" s="5">
        <v>1.0</v>
      </c>
      <c r="G34" s="5">
        <v>2.0</v>
      </c>
    </row>
    <row r="35">
      <c r="A35" s="4">
        <v>45782.0</v>
      </c>
      <c r="B35" s="5" t="s">
        <v>55</v>
      </c>
      <c r="C35" s="5" t="s">
        <v>61</v>
      </c>
      <c r="D35" s="5" t="s">
        <v>57</v>
      </c>
      <c r="E35" s="5">
        <v>0.5</v>
      </c>
      <c r="F35" s="5">
        <v>1.0</v>
      </c>
      <c r="G35" s="5">
        <v>2.0</v>
      </c>
    </row>
    <row r="36">
      <c r="A36" s="4">
        <v>45813.0</v>
      </c>
      <c r="B36" s="5" t="s">
        <v>55</v>
      </c>
      <c r="C36" s="5" t="s">
        <v>62</v>
      </c>
      <c r="D36" s="5" t="s">
        <v>57</v>
      </c>
      <c r="E36" s="5">
        <v>2.0</v>
      </c>
      <c r="F36" s="5">
        <v>3.0</v>
      </c>
      <c r="G36" s="5">
        <v>5.0</v>
      </c>
    </row>
    <row r="37">
      <c r="A37" s="4">
        <v>45843.0</v>
      </c>
      <c r="B37" s="5" t="s">
        <v>55</v>
      </c>
      <c r="C37" s="5" t="s">
        <v>63</v>
      </c>
      <c r="D37" s="5" t="s">
        <v>57</v>
      </c>
      <c r="E37" s="5">
        <v>1.0</v>
      </c>
      <c r="F37" s="5">
        <v>2.0</v>
      </c>
      <c r="G37" s="5">
        <v>3.0</v>
      </c>
    </row>
    <row r="38">
      <c r="A38" s="4">
        <v>45874.0</v>
      </c>
      <c r="B38" s="5" t="s">
        <v>55</v>
      </c>
      <c r="C38" s="5" t="s">
        <v>64</v>
      </c>
      <c r="D38" s="5" t="s">
        <v>57</v>
      </c>
      <c r="E38" s="5">
        <v>1.0</v>
      </c>
      <c r="F38" s="5">
        <v>2.0</v>
      </c>
      <c r="G38" s="5">
        <v>4.0</v>
      </c>
    </row>
    <row r="39">
      <c r="A39" s="4">
        <v>45905.0</v>
      </c>
      <c r="B39" s="5" t="s">
        <v>55</v>
      </c>
      <c r="C39" s="5" t="s">
        <v>65</v>
      </c>
      <c r="D39" s="5" t="s">
        <v>57</v>
      </c>
      <c r="E39" s="5">
        <v>1.0</v>
      </c>
      <c r="F39" s="5">
        <v>2.0</v>
      </c>
      <c r="G39" s="5">
        <v>6.0</v>
      </c>
    </row>
    <row r="40">
      <c r="A40" s="4">
        <v>45935.0</v>
      </c>
      <c r="B40" s="5" t="s">
        <v>55</v>
      </c>
      <c r="C40" s="5" t="s">
        <v>66</v>
      </c>
      <c r="D40" s="5" t="s">
        <v>57</v>
      </c>
      <c r="E40" s="5">
        <v>1.0</v>
      </c>
      <c r="F40" s="5">
        <v>2.0</v>
      </c>
      <c r="G40" s="5">
        <v>3.0</v>
      </c>
    </row>
    <row r="41">
      <c r="A41" s="4">
        <v>45663.0</v>
      </c>
      <c r="B41" s="5" t="s">
        <v>67</v>
      </c>
      <c r="C41" s="5" t="s">
        <v>68</v>
      </c>
      <c r="D41" s="5" t="s">
        <v>69</v>
      </c>
      <c r="E41" s="5">
        <v>1.0</v>
      </c>
      <c r="F41" s="5">
        <v>2.0</v>
      </c>
      <c r="G41" s="5">
        <v>3.0</v>
      </c>
    </row>
    <row r="42">
      <c r="A42" s="4">
        <v>45694.0</v>
      </c>
      <c r="B42" s="5" t="s">
        <v>67</v>
      </c>
      <c r="C42" s="5" t="s">
        <v>70</v>
      </c>
      <c r="D42" s="5" t="s">
        <v>69</v>
      </c>
      <c r="E42" s="5">
        <v>1.0</v>
      </c>
      <c r="F42" s="5">
        <v>2.0</v>
      </c>
      <c r="G42" s="5">
        <v>3.0</v>
      </c>
    </row>
    <row r="43">
      <c r="A43" s="4">
        <v>45722.0</v>
      </c>
      <c r="B43" s="5" t="s">
        <v>67</v>
      </c>
      <c r="C43" s="5" t="s">
        <v>71</v>
      </c>
      <c r="D43" s="5" t="s">
        <v>69</v>
      </c>
      <c r="E43" s="5">
        <v>1.0</v>
      </c>
      <c r="F43" s="5">
        <v>2.0</v>
      </c>
      <c r="G43" s="5">
        <v>3.0</v>
      </c>
    </row>
    <row r="44">
      <c r="A44" s="4">
        <v>45753.0</v>
      </c>
      <c r="B44" s="5" t="s">
        <v>67</v>
      </c>
      <c r="C44" s="5" t="s">
        <v>72</v>
      </c>
      <c r="D44" s="5" t="s">
        <v>69</v>
      </c>
      <c r="E44" s="5">
        <v>0.5</v>
      </c>
      <c r="F44" s="5">
        <v>1.0</v>
      </c>
      <c r="G44" s="5">
        <v>2.0</v>
      </c>
    </row>
    <row r="45">
      <c r="A45" s="4">
        <v>45783.0</v>
      </c>
      <c r="B45" s="5" t="s">
        <v>67</v>
      </c>
      <c r="C45" s="5" t="s">
        <v>73</v>
      </c>
      <c r="D45" s="5" t="s">
        <v>69</v>
      </c>
      <c r="E45" s="5">
        <v>0.5</v>
      </c>
      <c r="F45" s="5">
        <v>1.0</v>
      </c>
      <c r="G45" s="5">
        <v>2.0</v>
      </c>
    </row>
    <row r="46">
      <c r="A46" s="4">
        <v>45814.0</v>
      </c>
      <c r="B46" s="5" t="s">
        <v>67</v>
      </c>
      <c r="C46" s="5" t="s">
        <v>74</v>
      </c>
      <c r="D46" s="5" t="s">
        <v>69</v>
      </c>
      <c r="E46" s="5">
        <v>0.5</v>
      </c>
      <c r="F46" s="5">
        <v>1.0</v>
      </c>
      <c r="G46" s="5">
        <v>2.0</v>
      </c>
    </row>
    <row r="47">
      <c r="A47" s="4">
        <v>45844.0</v>
      </c>
      <c r="B47" s="5" t="s">
        <v>67</v>
      </c>
      <c r="C47" s="5" t="s">
        <v>75</v>
      </c>
      <c r="D47" s="5" t="s">
        <v>69</v>
      </c>
      <c r="E47" s="5">
        <v>0.5</v>
      </c>
      <c r="F47" s="5">
        <v>1.0</v>
      </c>
      <c r="G47" s="5">
        <v>2.0</v>
      </c>
    </row>
    <row r="48">
      <c r="A48" s="4">
        <v>45875.0</v>
      </c>
      <c r="B48" s="5" t="s">
        <v>67</v>
      </c>
      <c r="C48" s="5" t="s">
        <v>76</v>
      </c>
      <c r="D48" s="5" t="s">
        <v>69</v>
      </c>
      <c r="E48" s="5">
        <v>0.5</v>
      </c>
      <c r="F48" s="5">
        <v>1.0</v>
      </c>
      <c r="G48" s="5">
        <v>2.0</v>
      </c>
    </row>
    <row r="49">
      <c r="A49" s="4">
        <v>45906.0</v>
      </c>
      <c r="B49" s="5" t="s">
        <v>67</v>
      </c>
      <c r="C49" s="5" t="s">
        <v>77</v>
      </c>
      <c r="D49" s="5" t="s">
        <v>69</v>
      </c>
      <c r="E49" s="5">
        <v>0.5</v>
      </c>
      <c r="F49" s="5">
        <v>1.0</v>
      </c>
      <c r="G49" s="5">
        <v>2.0</v>
      </c>
    </row>
    <row r="50">
      <c r="A50" s="4">
        <v>45936.0</v>
      </c>
      <c r="B50" s="5" t="s">
        <v>67</v>
      </c>
      <c r="C50" s="5" t="s">
        <v>78</v>
      </c>
      <c r="D50" s="5" t="s">
        <v>69</v>
      </c>
      <c r="E50" s="5">
        <v>0.5</v>
      </c>
      <c r="F50" s="5">
        <v>1.0</v>
      </c>
      <c r="G50" s="5">
        <v>2.0</v>
      </c>
    </row>
    <row r="51">
      <c r="A51" s="4">
        <v>45967.0</v>
      </c>
      <c r="B51" s="5" t="s">
        <v>67</v>
      </c>
      <c r="C51" s="5" t="s">
        <v>79</v>
      </c>
      <c r="D51" s="5" t="s">
        <v>69</v>
      </c>
      <c r="E51" s="5">
        <v>0.5</v>
      </c>
      <c r="F51" s="5">
        <v>1.0</v>
      </c>
      <c r="G51" s="5">
        <v>2.0</v>
      </c>
    </row>
    <row r="52">
      <c r="A52" s="4">
        <v>45664.0</v>
      </c>
      <c r="B52" s="5" t="s">
        <v>80</v>
      </c>
      <c r="C52" s="5" t="s">
        <v>81</v>
      </c>
      <c r="D52" s="5" t="s">
        <v>82</v>
      </c>
      <c r="E52" s="5">
        <v>0.5</v>
      </c>
      <c r="F52" s="5">
        <v>1.0</v>
      </c>
      <c r="G52" s="5">
        <v>2.0</v>
      </c>
    </row>
    <row r="53">
      <c r="A53" s="4">
        <v>45695.0</v>
      </c>
      <c r="B53" s="5" t="s">
        <v>80</v>
      </c>
      <c r="C53" s="5" t="s">
        <v>83</v>
      </c>
      <c r="D53" s="5" t="s">
        <v>82</v>
      </c>
      <c r="E53" s="5">
        <v>0.5</v>
      </c>
      <c r="F53" s="5">
        <v>1.0</v>
      </c>
      <c r="G53" s="5">
        <v>2.0</v>
      </c>
    </row>
    <row r="54">
      <c r="A54" s="4">
        <v>45723.0</v>
      </c>
      <c r="B54" s="5" t="s">
        <v>80</v>
      </c>
      <c r="C54" s="5" t="s">
        <v>84</v>
      </c>
      <c r="D54" s="5" t="s">
        <v>82</v>
      </c>
      <c r="E54" s="5">
        <v>0.5</v>
      </c>
      <c r="F54" s="5">
        <v>1.0</v>
      </c>
      <c r="G54" s="5">
        <v>2.0</v>
      </c>
    </row>
    <row r="55">
      <c r="A55" s="4">
        <v>45754.0</v>
      </c>
      <c r="B55" s="5" t="s">
        <v>80</v>
      </c>
      <c r="C55" s="5" t="s">
        <v>85</v>
      </c>
      <c r="D55" s="5" t="s">
        <v>82</v>
      </c>
      <c r="E55" s="5">
        <v>0.5</v>
      </c>
      <c r="F55" s="5">
        <v>1.0</v>
      </c>
      <c r="G55" s="5">
        <v>2.0</v>
      </c>
    </row>
    <row r="56">
      <c r="A56" s="4">
        <v>45784.0</v>
      </c>
      <c r="B56" s="5" t="s">
        <v>80</v>
      </c>
      <c r="C56" s="5" t="s">
        <v>86</v>
      </c>
      <c r="D56" s="5" t="s">
        <v>82</v>
      </c>
      <c r="E56" s="5">
        <v>0.5</v>
      </c>
      <c r="F56" s="5">
        <v>1.0</v>
      </c>
      <c r="G56" s="5">
        <v>2.0</v>
      </c>
    </row>
    <row r="57">
      <c r="A57" s="4">
        <v>45815.0</v>
      </c>
      <c r="B57" s="5" t="s">
        <v>80</v>
      </c>
      <c r="C57" s="5" t="s">
        <v>87</v>
      </c>
      <c r="D57" s="5" t="s">
        <v>82</v>
      </c>
      <c r="E57" s="5">
        <v>0.5</v>
      </c>
      <c r="F57" s="5">
        <v>1.0</v>
      </c>
      <c r="G57" s="5">
        <v>2.0</v>
      </c>
    </row>
    <row r="58">
      <c r="A58" s="4">
        <v>45845.0</v>
      </c>
      <c r="B58" s="5" t="s">
        <v>80</v>
      </c>
      <c r="C58" s="5" t="s">
        <v>88</v>
      </c>
      <c r="D58" s="5" t="s">
        <v>82</v>
      </c>
      <c r="E58" s="5">
        <v>0.5</v>
      </c>
      <c r="F58" s="5">
        <v>1.0</v>
      </c>
      <c r="G58" s="5">
        <v>2.0</v>
      </c>
    </row>
    <row r="59">
      <c r="A59" s="4">
        <v>45876.0</v>
      </c>
      <c r="B59" s="5" t="s">
        <v>80</v>
      </c>
      <c r="C59" s="5" t="s">
        <v>89</v>
      </c>
      <c r="D59" s="5" t="s">
        <v>82</v>
      </c>
      <c r="E59" s="5">
        <v>0.5</v>
      </c>
      <c r="F59" s="5">
        <v>1.0</v>
      </c>
      <c r="G59" s="5">
        <v>2.0</v>
      </c>
    </row>
    <row r="60">
      <c r="A60" s="4">
        <v>45907.0</v>
      </c>
      <c r="B60" s="5" t="s">
        <v>80</v>
      </c>
      <c r="C60" s="5" t="s">
        <v>90</v>
      </c>
      <c r="D60" s="5" t="s">
        <v>82</v>
      </c>
      <c r="E60" s="5">
        <v>0.5</v>
      </c>
      <c r="F60" s="5">
        <v>1.0</v>
      </c>
      <c r="G60" s="5">
        <v>2.0</v>
      </c>
    </row>
    <row r="61">
      <c r="A61" s="4">
        <v>45937.0</v>
      </c>
      <c r="B61" s="5" t="s">
        <v>80</v>
      </c>
      <c r="C61" s="5" t="s">
        <v>91</v>
      </c>
      <c r="D61" s="5" t="s">
        <v>82</v>
      </c>
      <c r="E61" s="5">
        <v>0.5</v>
      </c>
      <c r="F61" s="5">
        <v>1.0</v>
      </c>
      <c r="G61" s="5">
        <v>2.0</v>
      </c>
    </row>
    <row r="62">
      <c r="A62" s="4">
        <v>45968.0</v>
      </c>
      <c r="B62" s="5" t="s">
        <v>80</v>
      </c>
      <c r="C62" s="5" t="s">
        <v>92</v>
      </c>
      <c r="D62" s="5" t="s">
        <v>82</v>
      </c>
      <c r="E62" s="5">
        <v>0.5</v>
      </c>
      <c r="F62" s="5">
        <v>1.0</v>
      </c>
      <c r="G62" s="5">
        <v>2.0</v>
      </c>
    </row>
    <row r="63">
      <c r="A63" s="4">
        <v>45665.0</v>
      </c>
      <c r="B63" s="5" t="s">
        <v>93</v>
      </c>
      <c r="C63" s="5" t="s">
        <v>94</v>
      </c>
      <c r="D63" s="5" t="s">
        <v>95</v>
      </c>
      <c r="E63" s="5">
        <v>1.0</v>
      </c>
      <c r="F63" s="5">
        <v>2.0</v>
      </c>
      <c r="G63" s="5">
        <v>3.0</v>
      </c>
    </row>
    <row r="64">
      <c r="A64" s="4">
        <v>45696.0</v>
      </c>
      <c r="B64" s="5" t="s">
        <v>93</v>
      </c>
      <c r="C64" s="5" t="s">
        <v>96</v>
      </c>
      <c r="D64" s="5" t="s">
        <v>95</v>
      </c>
      <c r="E64" s="5">
        <v>0.5</v>
      </c>
      <c r="F64" s="5">
        <v>1.0</v>
      </c>
      <c r="G64" s="5">
        <v>2.0</v>
      </c>
    </row>
    <row r="65">
      <c r="A65" s="4">
        <v>45724.0</v>
      </c>
      <c r="B65" s="5" t="s">
        <v>93</v>
      </c>
      <c r="C65" s="5" t="s">
        <v>97</v>
      </c>
      <c r="D65" s="5" t="s">
        <v>95</v>
      </c>
      <c r="E65" s="5">
        <v>0.5</v>
      </c>
      <c r="F65" s="5">
        <v>1.0</v>
      </c>
      <c r="G65" s="5">
        <v>2.0</v>
      </c>
    </row>
    <row r="66">
      <c r="A66" s="4">
        <v>45755.0</v>
      </c>
      <c r="B66" s="5" t="s">
        <v>93</v>
      </c>
      <c r="C66" s="5" t="s">
        <v>98</v>
      </c>
      <c r="D66" s="5" t="s">
        <v>95</v>
      </c>
      <c r="E66" s="5">
        <v>0.5</v>
      </c>
      <c r="F66" s="5">
        <v>1.0</v>
      </c>
      <c r="G66" s="5">
        <v>2.0</v>
      </c>
    </row>
    <row r="67">
      <c r="A67" s="4">
        <v>45785.0</v>
      </c>
      <c r="B67" s="5" t="s">
        <v>93</v>
      </c>
      <c r="C67" s="5" t="s">
        <v>99</v>
      </c>
      <c r="D67" s="5" t="s">
        <v>95</v>
      </c>
      <c r="E67" s="5">
        <v>2.0</v>
      </c>
      <c r="F67" s="5">
        <v>4.0</v>
      </c>
      <c r="G67" s="5">
        <v>6.0</v>
      </c>
    </row>
    <row r="68">
      <c r="A68" s="4">
        <v>45816.0</v>
      </c>
      <c r="B68" s="5" t="s">
        <v>93</v>
      </c>
      <c r="C68" s="5" t="s">
        <v>100</v>
      </c>
      <c r="D68" s="5" t="s">
        <v>51</v>
      </c>
      <c r="E68" s="5">
        <v>1.0</v>
      </c>
      <c r="F68" s="5">
        <v>3.0</v>
      </c>
      <c r="G68" s="5">
        <v>5.0</v>
      </c>
    </row>
    <row r="69">
      <c r="A69" s="4">
        <v>45846.0</v>
      </c>
      <c r="B69" s="5" t="s">
        <v>93</v>
      </c>
      <c r="C69" s="5" t="s">
        <v>101</v>
      </c>
      <c r="D69" s="5" t="s">
        <v>102</v>
      </c>
      <c r="E69" s="5">
        <v>1.0</v>
      </c>
      <c r="F69" s="5">
        <v>2.0</v>
      </c>
      <c r="G69" s="5">
        <v>3.0</v>
      </c>
    </row>
    <row r="70">
      <c r="A70" s="4">
        <v>45877.0</v>
      </c>
      <c r="B70" s="5" t="s">
        <v>93</v>
      </c>
      <c r="C70" s="5" t="s">
        <v>103</v>
      </c>
      <c r="D70" s="5" t="s">
        <v>102</v>
      </c>
      <c r="E70" s="5">
        <v>0.5</v>
      </c>
      <c r="F70" s="5">
        <v>1.0</v>
      </c>
      <c r="G70" s="5">
        <v>2.0</v>
      </c>
    </row>
    <row r="71">
      <c r="A71" s="4">
        <v>45908.0</v>
      </c>
      <c r="B71" s="5" t="s">
        <v>93</v>
      </c>
      <c r="C71" s="5" t="s">
        <v>104</v>
      </c>
      <c r="D71" s="5" t="s">
        <v>12</v>
      </c>
      <c r="E71" s="5">
        <v>0.5</v>
      </c>
      <c r="F71" s="5">
        <v>1.0</v>
      </c>
      <c r="G71" s="5">
        <v>2.0</v>
      </c>
    </row>
    <row r="74">
      <c r="A74" s="1"/>
      <c r="B74" s="1"/>
      <c r="C74" s="1"/>
      <c r="D74" s="1"/>
      <c r="E74" s="1"/>
      <c r="F74" s="1"/>
      <c r="G74" s="1"/>
    </row>
    <row r="75">
      <c r="A75" s="4"/>
    </row>
    <row r="76">
      <c r="A76" s="4"/>
      <c r="G76" s="4"/>
    </row>
    <row r="77">
      <c r="A77" s="4"/>
    </row>
    <row r="78">
      <c r="A78" s="4"/>
    </row>
    <row r="79">
      <c r="A79" s="4"/>
      <c r="G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  <c r="G85" s="4"/>
    </row>
    <row r="86">
      <c r="A86" s="4"/>
      <c r="G86" s="4"/>
    </row>
    <row r="87">
      <c r="A87" s="4"/>
    </row>
    <row r="88">
      <c r="A88" s="4"/>
      <c r="G88" s="4"/>
    </row>
    <row r="89">
      <c r="A89" s="4"/>
      <c r="G89" s="4"/>
    </row>
    <row r="90">
      <c r="A90" s="4"/>
    </row>
    <row r="91">
      <c r="A91" s="4"/>
      <c r="G91" s="4"/>
    </row>
    <row r="92">
      <c r="A92" s="4"/>
    </row>
    <row r="93">
      <c r="A93" s="4"/>
    </row>
    <row r="94">
      <c r="A94" s="4"/>
    </row>
    <row r="95">
      <c r="A95" s="4"/>
      <c r="G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  <c r="G101" s="4"/>
    </row>
    <row r="102">
      <c r="A102" s="4"/>
      <c r="G102" s="4"/>
    </row>
    <row r="103">
      <c r="A103" s="4"/>
      <c r="G103" s="4"/>
    </row>
    <row r="104">
      <c r="A104" s="4"/>
      <c r="G104" s="4"/>
    </row>
    <row r="105">
      <c r="A105" s="4"/>
      <c r="G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  <c r="G110" s="4"/>
    </row>
    <row r="111">
      <c r="A111" s="4"/>
    </row>
    <row r="112">
      <c r="A112" s="4"/>
      <c r="F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  <c r="F117" s="4"/>
      <c r="G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  <c r="F122" s="4"/>
      <c r="G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  <c r="F128" s="4"/>
      <c r="G128" s="4"/>
    </row>
    <row r="129">
      <c r="A129" s="4"/>
    </row>
    <row r="130">
      <c r="A130" s="4"/>
      <c r="F130" s="4"/>
      <c r="G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  <c r="G136" s="4"/>
    </row>
    <row r="137">
      <c r="A137" s="4"/>
      <c r="F137" s="4"/>
      <c r="G137" s="4"/>
    </row>
    <row r="138">
      <c r="A138" s="4"/>
      <c r="F138" s="4"/>
      <c r="G138" s="4"/>
    </row>
    <row r="139">
      <c r="A139" s="4"/>
      <c r="F139" s="4"/>
      <c r="G139" s="4"/>
    </row>
    <row r="140">
      <c r="A140" s="4"/>
    </row>
    <row r="141">
      <c r="A141" s="4"/>
      <c r="G141" s="4"/>
    </row>
    <row r="142">
      <c r="A142" s="4"/>
    </row>
    <row r="143">
      <c r="A143" s="4"/>
      <c r="G143" s="4"/>
    </row>
    <row r="144">
      <c r="A144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87.0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105</v>
      </c>
      <c r="F1" s="1" t="s">
        <v>106</v>
      </c>
      <c r="G1" s="1" t="s">
        <v>107</v>
      </c>
    </row>
    <row r="2">
      <c r="A2" s="4">
        <v>45658.0</v>
      </c>
      <c r="B2" s="5" t="s">
        <v>10</v>
      </c>
      <c r="C2" s="5" t="s">
        <v>11</v>
      </c>
      <c r="D2" s="5" t="s">
        <v>12</v>
      </c>
      <c r="E2" s="7">
        <v>1.0</v>
      </c>
      <c r="F2" s="7">
        <v>2.0</v>
      </c>
      <c r="G2" s="7">
        <v>3.0</v>
      </c>
    </row>
    <row r="3">
      <c r="A3" s="4">
        <v>45689.0</v>
      </c>
      <c r="B3" s="5" t="s">
        <v>10</v>
      </c>
      <c r="C3" s="5" t="s">
        <v>14</v>
      </c>
      <c r="D3" s="5" t="s">
        <v>12</v>
      </c>
      <c r="E3" s="7">
        <v>1.0</v>
      </c>
      <c r="F3" s="7">
        <v>2.0</v>
      </c>
      <c r="G3" s="7">
        <v>4.0</v>
      </c>
    </row>
    <row r="4">
      <c r="A4" s="4">
        <v>45717.0</v>
      </c>
      <c r="B4" s="5" t="s">
        <v>10</v>
      </c>
      <c r="C4" s="5" t="s">
        <v>16</v>
      </c>
      <c r="D4" s="5" t="s">
        <v>12</v>
      </c>
      <c r="E4" s="7">
        <v>1.0</v>
      </c>
      <c r="F4" s="7">
        <v>3.0</v>
      </c>
      <c r="G4" s="7">
        <v>5.0</v>
      </c>
    </row>
    <row r="5">
      <c r="A5" s="4">
        <v>45748.0</v>
      </c>
      <c r="B5" s="5" t="s">
        <v>10</v>
      </c>
      <c r="C5" s="5" t="s">
        <v>18</v>
      </c>
      <c r="D5" s="5" t="s">
        <v>12</v>
      </c>
      <c r="E5" s="7">
        <v>1.0</v>
      </c>
      <c r="F5" s="7">
        <v>2.0</v>
      </c>
      <c r="G5" s="7">
        <v>3.0</v>
      </c>
    </row>
    <row r="6">
      <c r="A6" s="4">
        <v>45778.0</v>
      </c>
      <c r="B6" s="5" t="s">
        <v>10</v>
      </c>
      <c r="C6" s="5" t="s">
        <v>20</v>
      </c>
      <c r="D6" s="5" t="s">
        <v>12</v>
      </c>
      <c r="E6" s="7">
        <v>1.0</v>
      </c>
      <c r="F6" s="7">
        <v>2.0</v>
      </c>
      <c r="G6" s="7">
        <v>5.0</v>
      </c>
    </row>
    <row r="7">
      <c r="A7" s="4">
        <v>45809.0</v>
      </c>
      <c r="B7" s="5" t="s">
        <v>10</v>
      </c>
      <c r="C7" s="5" t="s">
        <v>21</v>
      </c>
      <c r="D7" s="5" t="s">
        <v>12</v>
      </c>
      <c r="E7" s="7">
        <v>1.0</v>
      </c>
      <c r="F7" s="7">
        <v>2.0</v>
      </c>
      <c r="G7" s="7">
        <v>4.0</v>
      </c>
    </row>
    <row r="8">
      <c r="A8" s="4">
        <v>45659.0</v>
      </c>
      <c r="B8" s="5" t="s">
        <v>23</v>
      </c>
      <c r="C8" s="5" t="s">
        <v>24</v>
      </c>
      <c r="D8" s="5" t="s">
        <v>25</v>
      </c>
      <c r="E8" s="7">
        <v>2.0</v>
      </c>
      <c r="F8" s="7">
        <v>4.0</v>
      </c>
      <c r="G8" s="7">
        <v>7.0</v>
      </c>
    </row>
    <row r="9">
      <c r="A9" s="4">
        <v>45690.0</v>
      </c>
      <c r="B9" s="5" t="s">
        <v>23</v>
      </c>
      <c r="C9" s="5" t="s">
        <v>27</v>
      </c>
      <c r="D9" s="5" t="s">
        <v>25</v>
      </c>
      <c r="E9" s="7">
        <v>2.0</v>
      </c>
      <c r="F9" s="7">
        <v>5.0</v>
      </c>
      <c r="G9" s="7">
        <v>8.0</v>
      </c>
    </row>
    <row r="10">
      <c r="A10" s="4">
        <v>45718.0</v>
      </c>
      <c r="B10" s="5" t="s">
        <v>23</v>
      </c>
      <c r="C10" s="5" t="s">
        <v>28</v>
      </c>
      <c r="D10" s="5" t="s">
        <v>25</v>
      </c>
      <c r="E10" s="7">
        <v>1.0</v>
      </c>
      <c r="F10" s="7">
        <v>3.0</v>
      </c>
      <c r="G10" s="7">
        <v>6.0</v>
      </c>
    </row>
    <row r="11">
      <c r="A11" s="4">
        <v>45749.0</v>
      </c>
      <c r="B11" s="5" t="s">
        <v>23</v>
      </c>
      <c r="C11" s="5" t="s">
        <v>30</v>
      </c>
      <c r="D11" s="5" t="s">
        <v>25</v>
      </c>
      <c r="E11" s="7">
        <v>1.0</v>
      </c>
      <c r="F11" s="7">
        <v>1.0</v>
      </c>
      <c r="G11" s="7">
        <v>2.0</v>
      </c>
    </row>
    <row r="12">
      <c r="A12" s="4">
        <v>45779.0</v>
      </c>
      <c r="B12" s="5" t="s">
        <v>23</v>
      </c>
      <c r="C12" s="5" t="s">
        <v>31</v>
      </c>
      <c r="D12" s="5" t="s">
        <v>25</v>
      </c>
      <c r="E12" s="7">
        <v>1.0</v>
      </c>
      <c r="F12" s="7">
        <v>2.0</v>
      </c>
      <c r="G12" s="7">
        <v>4.0</v>
      </c>
    </row>
    <row r="13">
      <c r="A13" s="4">
        <v>45810.0</v>
      </c>
      <c r="B13" s="5" t="s">
        <v>23</v>
      </c>
      <c r="C13" s="5" t="s">
        <v>32</v>
      </c>
      <c r="D13" s="5" t="s">
        <v>25</v>
      </c>
      <c r="E13" s="7">
        <v>1.0</v>
      </c>
      <c r="F13" s="7">
        <v>2.0</v>
      </c>
      <c r="G13" s="7">
        <v>4.0</v>
      </c>
    </row>
    <row r="14">
      <c r="A14" s="4">
        <v>45840.0</v>
      </c>
      <c r="B14" s="5" t="s">
        <v>23</v>
      </c>
      <c r="C14" s="5" t="s">
        <v>33</v>
      </c>
      <c r="D14" s="5" t="s">
        <v>12</v>
      </c>
      <c r="E14" s="7">
        <v>1.0</v>
      </c>
      <c r="F14" s="7">
        <v>2.0</v>
      </c>
      <c r="G14" s="7">
        <v>3.0</v>
      </c>
    </row>
    <row r="15">
      <c r="A15" s="4">
        <v>45660.0</v>
      </c>
      <c r="B15" s="5" t="s">
        <v>34</v>
      </c>
      <c r="C15" s="5" t="s">
        <v>35</v>
      </c>
      <c r="D15" s="5" t="s">
        <v>36</v>
      </c>
      <c r="E15" s="7">
        <v>1.0</v>
      </c>
      <c r="F15" s="7">
        <v>2.0</v>
      </c>
      <c r="G15" s="7">
        <v>4.0</v>
      </c>
    </row>
    <row r="16">
      <c r="A16" s="4">
        <v>45691.0</v>
      </c>
      <c r="B16" s="5" t="s">
        <v>34</v>
      </c>
      <c r="C16" s="5" t="s">
        <v>37</v>
      </c>
      <c r="D16" s="5" t="s">
        <v>36</v>
      </c>
      <c r="E16" s="7">
        <v>1.0</v>
      </c>
      <c r="F16" s="7">
        <v>3.0</v>
      </c>
      <c r="G16" s="7">
        <v>5.0</v>
      </c>
    </row>
    <row r="17">
      <c r="A17" s="4">
        <v>45719.0</v>
      </c>
      <c r="B17" s="5" t="s">
        <v>34</v>
      </c>
      <c r="C17" s="5" t="s">
        <v>38</v>
      </c>
      <c r="D17" s="5" t="s">
        <v>36</v>
      </c>
      <c r="E17" s="7">
        <v>1.0</v>
      </c>
      <c r="F17" s="7">
        <v>2.0</v>
      </c>
      <c r="G17" s="7">
        <v>4.0</v>
      </c>
    </row>
    <row r="18">
      <c r="A18" s="4">
        <v>45750.0</v>
      </c>
      <c r="B18" s="5" t="s">
        <v>34</v>
      </c>
      <c r="C18" s="5" t="s">
        <v>39</v>
      </c>
      <c r="D18" s="5" t="s">
        <v>36</v>
      </c>
      <c r="E18" s="7">
        <v>1.0</v>
      </c>
      <c r="F18" s="7">
        <v>2.0</v>
      </c>
      <c r="G18" s="7">
        <v>4.0</v>
      </c>
    </row>
    <row r="19">
      <c r="A19" s="4">
        <v>45780.0</v>
      </c>
      <c r="B19" s="5" t="s">
        <v>34</v>
      </c>
      <c r="C19" s="5" t="s">
        <v>40</v>
      </c>
      <c r="D19" s="5" t="s">
        <v>36</v>
      </c>
      <c r="E19" s="7">
        <v>1.0</v>
      </c>
      <c r="F19" s="7">
        <v>3.0</v>
      </c>
      <c r="G19" s="7">
        <v>5.0</v>
      </c>
    </row>
    <row r="20">
      <c r="A20" s="4">
        <v>45811.0</v>
      </c>
      <c r="B20" s="5" t="s">
        <v>34</v>
      </c>
      <c r="C20" s="5" t="s">
        <v>41</v>
      </c>
      <c r="D20" s="5" t="s">
        <v>36</v>
      </c>
      <c r="E20" s="7">
        <v>1.0</v>
      </c>
      <c r="F20" s="7">
        <v>3.0</v>
      </c>
      <c r="G20" s="7">
        <v>5.0</v>
      </c>
    </row>
    <row r="21">
      <c r="A21" s="4">
        <v>45841.0</v>
      </c>
      <c r="B21" s="5" t="s">
        <v>34</v>
      </c>
      <c r="C21" s="5" t="s">
        <v>42</v>
      </c>
      <c r="D21" s="5" t="s">
        <v>36</v>
      </c>
      <c r="E21" s="7">
        <v>1.0</v>
      </c>
      <c r="F21" s="7">
        <v>2.0</v>
      </c>
      <c r="G21" s="7">
        <v>4.0</v>
      </c>
    </row>
    <row r="22">
      <c r="A22" s="4">
        <v>45872.0</v>
      </c>
      <c r="B22" s="5" t="s">
        <v>34</v>
      </c>
      <c r="C22" s="5" t="s">
        <v>43</v>
      </c>
      <c r="D22" s="5" t="s">
        <v>36</v>
      </c>
      <c r="E22" s="7">
        <v>1.0</v>
      </c>
      <c r="F22" s="7">
        <v>2.0</v>
      </c>
      <c r="G22" s="7">
        <v>3.0</v>
      </c>
    </row>
    <row r="23">
      <c r="A23" s="4">
        <v>45661.0</v>
      </c>
      <c r="B23" s="5" t="s">
        <v>44</v>
      </c>
      <c r="C23" s="5" t="s">
        <v>45</v>
      </c>
      <c r="D23" s="5" t="s">
        <v>46</v>
      </c>
      <c r="E23" s="7">
        <v>1.0</v>
      </c>
      <c r="F23" s="7">
        <v>2.0</v>
      </c>
      <c r="G23" s="7">
        <v>4.0</v>
      </c>
    </row>
    <row r="24">
      <c r="A24" s="4">
        <v>45692.0</v>
      </c>
      <c r="B24" s="5" t="s">
        <v>44</v>
      </c>
      <c r="C24" s="5" t="s">
        <v>47</v>
      </c>
      <c r="D24" s="5" t="s">
        <v>46</v>
      </c>
      <c r="E24" s="7">
        <v>1.0</v>
      </c>
      <c r="F24" s="7">
        <v>3.0</v>
      </c>
      <c r="G24" s="7">
        <v>6.0</v>
      </c>
    </row>
    <row r="25">
      <c r="A25" s="4">
        <v>45720.0</v>
      </c>
      <c r="B25" s="5" t="s">
        <v>44</v>
      </c>
      <c r="C25" s="5" t="s">
        <v>48</v>
      </c>
      <c r="D25" s="5" t="s">
        <v>46</v>
      </c>
      <c r="E25" s="7">
        <v>1.0</v>
      </c>
      <c r="F25" s="7">
        <v>3.0</v>
      </c>
      <c r="G25" s="7">
        <v>5.0</v>
      </c>
    </row>
    <row r="26">
      <c r="A26" s="4">
        <v>45751.0</v>
      </c>
      <c r="B26" s="5" t="s">
        <v>44</v>
      </c>
      <c r="C26" s="5" t="s">
        <v>49</v>
      </c>
      <c r="D26" s="5" t="s">
        <v>46</v>
      </c>
      <c r="E26" s="7">
        <v>2.0</v>
      </c>
      <c r="F26" s="7">
        <v>4.0</v>
      </c>
      <c r="G26" s="7">
        <v>7.0</v>
      </c>
    </row>
    <row r="27">
      <c r="A27" s="4">
        <v>45781.0</v>
      </c>
      <c r="B27" s="5" t="s">
        <v>44</v>
      </c>
      <c r="C27" s="5" t="s">
        <v>50</v>
      </c>
      <c r="D27" s="5" t="s">
        <v>51</v>
      </c>
      <c r="E27" s="7">
        <v>1.0</v>
      </c>
      <c r="F27" s="7">
        <v>2.0</v>
      </c>
      <c r="G27" s="7">
        <v>3.0</v>
      </c>
    </row>
    <row r="28">
      <c r="A28" s="4">
        <v>45812.0</v>
      </c>
      <c r="B28" s="5" t="s">
        <v>44</v>
      </c>
      <c r="C28" s="5" t="s">
        <v>52</v>
      </c>
      <c r="D28" s="5" t="s">
        <v>51</v>
      </c>
      <c r="E28" s="7">
        <v>1.0</v>
      </c>
      <c r="F28" s="7">
        <v>2.0</v>
      </c>
      <c r="G28" s="7">
        <v>4.0</v>
      </c>
    </row>
    <row r="29">
      <c r="A29" s="4">
        <v>45842.0</v>
      </c>
      <c r="B29" s="5" t="s">
        <v>44</v>
      </c>
      <c r="C29" s="5" t="s">
        <v>53</v>
      </c>
      <c r="D29" s="5" t="s">
        <v>51</v>
      </c>
      <c r="E29" s="7">
        <v>1.0</v>
      </c>
      <c r="F29" s="7">
        <v>3.0</v>
      </c>
      <c r="G29" s="7">
        <v>6.0</v>
      </c>
    </row>
    <row r="30">
      <c r="A30" s="4">
        <v>45873.0</v>
      </c>
      <c r="B30" s="5" t="s">
        <v>44</v>
      </c>
      <c r="C30" s="5" t="s">
        <v>54</v>
      </c>
      <c r="D30" s="5" t="s">
        <v>51</v>
      </c>
      <c r="E30" s="7">
        <v>1.0</v>
      </c>
      <c r="F30" s="7">
        <v>3.0</v>
      </c>
      <c r="G30" s="7">
        <v>6.0</v>
      </c>
    </row>
    <row r="31">
      <c r="A31" s="4">
        <v>45662.0</v>
      </c>
      <c r="B31" s="5" t="s">
        <v>55</v>
      </c>
      <c r="C31" s="5" t="s">
        <v>56</v>
      </c>
      <c r="D31" s="5" t="s">
        <v>57</v>
      </c>
      <c r="E31" s="7">
        <v>2.0</v>
      </c>
      <c r="F31" s="7">
        <v>4.0</v>
      </c>
      <c r="G31" s="7">
        <v>8.0</v>
      </c>
    </row>
    <row r="32">
      <c r="A32" s="4">
        <v>45693.0</v>
      </c>
      <c r="B32" s="5" t="s">
        <v>55</v>
      </c>
      <c r="C32" s="5" t="s">
        <v>58</v>
      </c>
      <c r="D32" s="5" t="s">
        <v>57</v>
      </c>
      <c r="E32" s="7">
        <v>1.0</v>
      </c>
      <c r="F32" s="7">
        <v>3.0</v>
      </c>
      <c r="G32" s="7">
        <v>6.0</v>
      </c>
    </row>
    <row r="33">
      <c r="A33" s="4">
        <v>45721.0</v>
      </c>
      <c r="B33" s="5" t="s">
        <v>55</v>
      </c>
      <c r="C33" s="5" t="s">
        <v>59</v>
      </c>
      <c r="D33" s="5" t="s">
        <v>57</v>
      </c>
      <c r="E33" s="7">
        <v>2.0</v>
      </c>
      <c r="F33" s="7">
        <v>5.0</v>
      </c>
      <c r="G33" s="7">
        <v>10.0</v>
      </c>
    </row>
    <row r="34">
      <c r="A34" s="4">
        <v>45752.0</v>
      </c>
      <c r="B34" s="5" t="s">
        <v>55</v>
      </c>
      <c r="C34" s="5" t="s">
        <v>60</v>
      </c>
      <c r="D34" s="5" t="s">
        <v>57</v>
      </c>
      <c r="E34" s="7">
        <v>1.0</v>
      </c>
      <c r="F34" s="7">
        <v>3.0</v>
      </c>
      <c r="G34" s="7">
        <v>6.0</v>
      </c>
    </row>
    <row r="35">
      <c r="A35" s="4">
        <v>45782.0</v>
      </c>
      <c r="B35" s="5" t="s">
        <v>55</v>
      </c>
      <c r="C35" s="5" t="s">
        <v>61</v>
      </c>
      <c r="D35" s="5" t="s">
        <v>57</v>
      </c>
      <c r="E35" s="7">
        <v>1.0</v>
      </c>
      <c r="F35" s="7">
        <v>1.0</v>
      </c>
      <c r="G35" s="7">
        <v>3.0</v>
      </c>
    </row>
    <row r="36">
      <c r="A36" s="4">
        <v>45813.0</v>
      </c>
      <c r="B36" s="5" t="s">
        <v>55</v>
      </c>
      <c r="C36" s="5" t="s">
        <v>62</v>
      </c>
      <c r="D36" s="5" t="s">
        <v>57</v>
      </c>
      <c r="E36" s="7">
        <v>3.0</v>
      </c>
      <c r="F36" s="7">
        <v>7.0</v>
      </c>
      <c r="G36" s="7">
        <v>14.0</v>
      </c>
    </row>
    <row r="37">
      <c r="A37" s="4">
        <v>45843.0</v>
      </c>
      <c r="B37" s="5" t="s">
        <v>55</v>
      </c>
      <c r="C37" s="5" t="s">
        <v>63</v>
      </c>
      <c r="D37" s="5" t="s">
        <v>57</v>
      </c>
      <c r="E37" s="7">
        <v>1.0</v>
      </c>
      <c r="F37" s="7">
        <v>2.0</v>
      </c>
      <c r="G37" s="7">
        <v>5.0</v>
      </c>
    </row>
    <row r="38">
      <c r="A38" s="4">
        <v>45874.0</v>
      </c>
      <c r="B38" s="5" t="s">
        <v>55</v>
      </c>
      <c r="C38" s="5" t="s">
        <v>64</v>
      </c>
      <c r="D38" s="5" t="s">
        <v>57</v>
      </c>
      <c r="E38" s="7">
        <v>3.0</v>
      </c>
      <c r="F38" s="7">
        <v>7.0</v>
      </c>
      <c r="G38" s="7">
        <v>14.0</v>
      </c>
    </row>
    <row r="39">
      <c r="A39" s="4">
        <v>45905.0</v>
      </c>
      <c r="B39" s="5" t="s">
        <v>55</v>
      </c>
      <c r="C39" s="5" t="s">
        <v>65</v>
      </c>
      <c r="D39" s="5" t="s">
        <v>57</v>
      </c>
      <c r="E39" s="7">
        <v>2.0</v>
      </c>
      <c r="F39" s="7">
        <v>6.0</v>
      </c>
      <c r="G39" s="7">
        <v>12.0</v>
      </c>
    </row>
    <row r="40">
      <c r="A40" s="4">
        <v>45935.0</v>
      </c>
      <c r="B40" s="5" t="s">
        <v>55</v>
      </c>
      <c r="C40" s="5" t="s">
        <v>66</v>
      </c>
      <c r="D40" s="5" t="s">
        <v>57</v>
      </c>
      <c r="E40" s="7">
        <v>2.0</v>
      </c>
      <c r="F40" s="7">
        <v>5.0</v>
      </c>
      <c r="G40" s="7">
        <v>10.0</v>
      </c>
    </row>
    <row r="41">
      <c r="A41" s="4">
        <v>45663.0</v>
      </c>
      <c r="B41" s="5" t="s">
        <v>67</v>
      </c>
      <c r="C41" s="5" t="s">
        <v>68</v>
      </c>
      <c r="D41" s="5" t="s">
        <v>69</v>
      </c>
      <c r="E41" s="7">
        <v>1.0</v>
      </c>
      <c r="F41" s="7">
        <v>2.0</v>
      </c>
      <c r="G41" s="7">
        <v>4.0</v>
      </c>
    </row>
    <row r="42">
      <c r="A42" s="4">
        <v>45694.0</v>
      </c>
      <c r="B42" s="5" t="s">
        <v>67</v>
      </c>
      <c r="C42" s="5" t="s">
        <v>70</v>
      </c>
      <c r="D42" s="5" t="s">
        <v>69</v>
      </c>
      <c r="E42" s="7">
        <v>1.0</v>
      </c>
      <c r="F42" s="7">
        <v>2.0</v>
      </c>
      <c r="G42" s="7">
        <v>4.0</v>
      </c>
    </row>
    <row r="43">
      <c r="A43" s="4">
        <v>45722.0</v>
      </c>
      <c r="B43" s="5" t="s">
        <v>67</v>
      </c>
      <c r="C43" s="5" t="s">
        <v>71</v>
      </c>
      <c r="D43" s="5" t="s">
        <v>69</v>
      </c>
      <c r="E43" s="7">
        <v>2.0</v>
      </c>
      <c r="F43" s="7">
        <v>4.0</v>
      </c>
      <c r="G43" s="7">
        <v>8.0</v>
      </c>
    </row>
    <row r="44">
      <c r="A44" s="4">
        <v>45753.0</v>
      </c>
      <c r="B44" s="5" t="s">
        <v>67</v>
      </c>
      <c r="C44" s="5" t="s">
        <v>72</v>
      </c>
      <c r="D44" s="5" t="s">
        <v>69</v>
      </c>
      <c r="E44" s="7">
        <v>2.0</v>
      </c>
      <c r="F44" s="7">
        <v>4.0</v>
      </c>
      <c r="G44" s="7">
        <v>8.0</v>
      </c>
    </row>
    <row r="45">
      <c r="A45" s="4">
        <v>45783.0</v>
      </c>
      <c r="B45" s="5" t="s">
        <v>67</v>
      </c>
      <c r="C45" s="5" t="s">
        <v>73</v>
      </c>
      <c r="D45" s="5" t="s">
        <v>69</v>
      </c>
      <c r="E45" s="7">
        <v>1.0</v>
      </c>
      <c r="F45" s="7">
        <v>3.0</v>
      </c>
      <c r="G45" s="7">
        <v>6.0</v>
      </c>
    </row>
    <row r="46">
      <c r="A46" s="4">
        <v>45814.0</v>
      </c>
      <c r="B46" s="5" t="s">
        <v>67</v>
      </c>
      <c r="C46" s="5" t="s">
        <v>74</v>
      </c>
      <c r="D46" s="5" t="s">
        <v>69</v>
      </c>
      <c r="E46" s="7">
        <v>1.0</v>
      </c>
      <c r="F46" s="7">
        <v>3.0</v>
      </c>
      <c r="G46" s="7">
        <v>6.0</v>
      </c>
    </row>
    <row r="47">
      <c r="A47" s="4">
        <v>45844.0</v>
      </c>
      <c r="B47" s="5" t="s">
        <v>67</v>
      </c>
      <c r="C47" s="5" t="s">
        <v>75</v>
      </c>
      <c r="D47" s="5" t="s">
        <v>69</v>
      </c>
      <c r="E47" s="7">
        <v>1.0</v>
      </c>
      <c r="F47" s="7">
        <v>3.0</v>
      </c>
      <c r="G47" s="7">
        <v>6.0</v>
      </c>
    </row>
    <row r="48">
      <c r="A48" s="4">
        <v>45875.0</v>
      </c>
      <c r="B48" s="5" t="s">
        <v>67</v>
      </c>
      <c r="C48" s="5" t="s">
        <v>76</v>
      </c>
      <c r="D48" s="5" t="s">
        <v>69</v>
      </c>
      <c r="E48" s="7">
        <v>1.0</v>
      </c>
      <c r="F48" s="7">
        <v>3.0</v>
      </c>
      <c r="G48" s="7">
        <v>6.0</v>
      </c>
    </row>
    <row r="49">
      <c r="A49" s="4">
        <v>45906.0</v>
      </c>
      <c r="B49" s="5" t="s">
        <v>67</v>
      </c>
      <c r="C49" s="5" t="s">
        <v>77</v>
      </c>
      <c r="D49" s="5" t="s">
        <v>69</v>
      </c>
      <c r="E49" s="7">
        <v>2.0</v>
      </c>
      <c r="F49" s="7">
        <v>4.0</v>
      </c>
      <c r="G49" s="7">
        <v>8.0</v>
      </c>
    </row>
    <row r="50">
      <c r="A50" s="4">
        <v>45936.0</v>
      </c>
      <c r="B50" s="5" t="s">
        <v>67</v>
      </c>
      <c r="C50" s="5" t="s">
        <v>78</v>
      </c>
      <c r="D50" s="5" t="s">
        <v>69</v>
      </c>
      <c r="E50" s="7">
        <v>1.0</v>
      </c>
      <c r="F50" s="7">
        <v>3.0</v>
      </c>
      <c r="G50" s="7">
        <v>6.0</v>
      </c>
    </row>
    <row r="51">
      <c r="A51" s="4">
        <v>45967.0</v>
      </c>
      <c r="B51" s="5" t="s">
        <v>67</v>
      </c>
      <c r="C51" s="5" t="s">
        <v>79</v>
      </c>
      <c r="D51" s="5" t="s">
        <v>69</v>
      </c>
      <c r="E51" s="7">
        <v>1.0</v>
      </c>
      <c r="F51" s="7">
        <v>2.0</v>
      </c>
      <c r="G51" s="7">
        <v>4.0</v>
      </c>
    </row>
    <row r="52">
      <c r="A52" s="4">
        <v>45664.0</v>
      </c>
      <c r="B52" s="5" t="s">
        <v>80</v>
      </c>
      <c r="C52" s="5" t="s">
        <v>81</v>
      </c>
      <c r="D52" s="5" t="s">
        <v>82</v>
      </c>
      <c r="E52" s="7">
        <v>1.0</v>
      </c>
      <c r="F52" s="7">
        <v>2.0</v>
      </c>
      <c r="G52" s="7">
        <v>4.0</v>
      </c>
    </row>
    <row r="53">
      <c r="A53" s="4">
        <v>45695.0</v>
      </c>
      <c r="B53" s="5" t="s">
        <v>80</v>
      </c>
      <c r="C53" s="5" t="s">
        <v>83</v>
      </c>
      <c r="D53" s="5" t="s">
        <v>82</v>
      </c>
      <c r="E53" s="7">
        <v>1.0</v>
      </c>
      <c r="F53" s="7">
        <v>2.0</v>
      </c>
      <c r="G53" s="7">
        <v>4.0</v>
      </c>
    </row>
    <row r="54">
      <c r="A54" s="4">
        <v>45723.0</v>
      </c>
      <c r="B54" s="5" t="s">
        <v>80</v>
      </c>
      <c r="C54" s="5" t="s">
        <v>84</v>
      </c>
      <c r="D54" s="5" t="s">
        <v>82</v>
      </c>
      <c r="E54" s="7">
        <v>1.0</v>
      </c>
      <c r="F54" s="7">
        <v>2.0</v>
      </c>
      <c r="G54" s="7">
        <v>3.0</v>
      </c>
    </row>
    <row r="55">
      <c r="A55" s="4">
        <v>45754.0</v>
      </c>
      <c r="B55" s="5" t="s">
        <v>80</v>
      </c>
      <c r="C55" s="5" t="s">
        <v>85</v>
      </c>
      <c r="D55" s="5" t="s">
        <v>82</v>
      </c>
      <c r="E55" s="7">
        <v>1.0</v>
      </c>
      <c r="F55" s="7">
        <v>3.0</v>
      </c>
      <c r="G55" s="7">
        <v>5.0</v>
      </c>
    </row>
    <row r="56">
      <c r="A56" s="4">
        <v>45784.0</v>
      </c>
      <c r="B56" s="5" t="s">
        <v>80</v>
      </c>
      <c r="C56" s="5" t="s">
        <v>86</v>
      </c>
      <c r="D56" s="5" t="s">
        <v>82</v>
      </c>
      <c r="E56" s="7">
        <v>1.0</v>
      </c>
      <c r="F56" s="7">
        <v>2.0</v>
      </c>
      <c r="G56" s="7">
        <v>4.0</v>
      </c>
    </row>
    <row r="57">
      <c r="A57" s="4">
        <v>45815.0</v>
      </c>
      <c r="B57" s="5" t="s">
        <v>80</v>
      </c>
      <c r="C57" s="5" t="s">
        <v>87</v>
      </c>
      <c r="D57" s="5" t="s">
        <v>82</v>
      </c>
      <c r="E57" s="7">
        <v>1.0</v>
      </c>
      <c r="F57" s="7">
        <v>3.0</v>
      </c>
      <c r="G57" s="7">
        <v>6.0</v>
      </c>
    </row>
    <row r="58">
      <c r="A58" s="4">
        <v>45845.0</v>
      </c>
      <c r="B58" s="5" t="s">
        <v>80</v>
      </c>
      <c r="C58" s="5" t="s">
        <v>88</v>
      </c>
      <c r="D58" s="5" t="s">
        <v>82</v>
      </c>
      <c r="E58" s="7">
        <v>1.0</v>
      </c>
      <c r="F58" s="7">
        <v>2.0</v>
      </c>
      <c r="G58" s="7">
        <v>4.0</v>
      </c>
    </row>
    <row r="59">
      <c r="A59" s="4">
        <v>45876.0</v>
      </c>
      <c r="B59" s="5" t="s">
        <v>80</v>
      </c>
      <c r="C59" s="5" t="s">
        <v>89</v>
      </c>
      <c r="D59" s="5" t="s">
        <v>82</v>
      </c>
      <c r="E59" s="7">
        <v>1.0</v>
      </c>
      <c r="F59" s="7">
        <v>3.0</v>
      </c>
      <c r="G59" s="7">
        <v>6.0</v>
      </c>
    </row>
    <row r="60">
      <c r="A60" s="4">
        <v>45907.0</v>
      </c>
      <c r="B60" s="5" t="s">
        <v>80</v>
      </c>
      <c r="C60" s="5" t="s">
        <v>90</v>
      </c>
      <c r="D60" s="5" t="s">
        <v>82</v>
      </c>
      <c r="E60" s="7">
        <v>1.0</v>
      </c>
      <c r="F60" s="7">
        <v>3.0</v>
      </c>
      <c r="G60" s="7">
        <v>6.0</v>
      </c>
    </row>
    <row r="61">
      <c r="A61" s="4">
        <v>45937.0</v>
      </c>
      <c r="B61" s="5" t="s">
        <v>80</v>
      </c>
      <c r="C61" s="5" t="s">
        <v>91</v>
      </c>
      <c r="D61" s="5" t="s">
        <v>82</v>
      </c>
      <c r="E61" s="7">
        <v>1.0</v>
      </c>
      <c r="F61" s="7">
        <v>2.0</v>
      </c>
      <c r="G61" s="7">
        <v>4.0</v>
      </c>
    </row>
    <row r="62">
      <c r="A62" s="4">
        <v>45968.0</v>
      </c>
      <c r="B62" s="5" t="s">
        <v>80</v>
      </c>
      <c r="C62" s="5" t="s">
        <v>92</v>
      </c>
      <c r="D62" s="5" t="s">
        <v>82</v>
      </c>
      <c r="E62" s="7">
        <v>1.0</v>
      </c>
      <c r="F62" s="7">
        <v>3.0</v>
      </c>
      <c r="G62" s="7">
        <v>5.0</v>
      </c>
    </row>
    <row r="63">
      <c r="A63" s="4">
        <v>45665.0</v>
      </c>
      <c r="B63" s="5" t="s">
        <v>93</v>
      </c>
      <c r="C63" s="5" t="s">
        <v>94</v>
      </c>
      <c r="D63" s="5" t="s">
        <v>95</v>
      </c>
      <c r="E63" s="7">
        <v>1.0</v>
      </c>
      <c r="F63" s="7">
        <v>2.0</v>
      </c>
      <c r="G63" s="7">
        <v>4.0</v>
      </c>
    </row>
    <row r="64">
      <c r="A64" s="4">
        <v>45696.0</v>
      </c>
      <c r="B64" s="5" t="s">
        <v>93</v>
      </c>
      <c r="C64" s="5" t="s">
        <v>96</v>
      </c>
      <c r="D64" s="5" t="s">
        <v>95</v>
      </c>
      <c r="E64" s="7">
        <v>2.0</v>
      </c>
      <c r="F64" s="7">
        <v>5.0</v>
      </c>
      <c r="G64" s="7">
        <v>10.0</v>
      </c>
    </row>
    <row r="65">
      <c r="A65" s="4">
        <v>45724.0</v>
      </c>
      <c r="B65" s="5" t="s">
        <v>93</v>
      </c>
      <c r="C65" s="5" t="s">
        <v>97</v>
      </c>
      <c r="D65" s="5" t="s">
        <v>95</v>
      </c>
      <c r="E65" s="7">
        <v>2.0</v>
      </c>
      <c r="F65" s="7">
        <v>5.0</v>
      </c>
      <c r="G65" s="7">
        <v>10.0</v>
      </c>
    </row>
    <row r="66">
      <c r="A66" s="4">
        <v>45755.0</v>
      </c>
      <c r="B66" s="5" t="s">
        <v>93</v>
      </c>
      <c r="C66" s="5" t="s">
        <v>98</v>
      </c>
      <c r="D66" s="5" t="s">
        <v>95</v>
      </c>
      <c r="E66" s="7">
        <v>2.0</v>
      </c>
      <c r="F66" s="7">
        <v>5.0</v>
      </c>
      <c r="G66" s="7">
        <v>10.0</v>
      </c>
    </row>
    <row r="67">
      <c r="A67" s="4">
        <v>45785.0</v>
      </c>
      <c r="B67" s="5" t="s">
        <v>93</v>
      </c>
      <c r="C67" s="5" t="s">
        <v>99</v>
      </c>
      <c r="D67" s="5" t="s">
        <v>95</v>
      </c>
      <c r="E67" s="7">
        <v>2.0</v>
      </c>
      <c r="F67" s="7">
        <v>5.0</v>
      </c>
      <c r="G67" s="7">
        <v>12.0</v>
      </c>
    </row>
    <row r="68">
      <c r="A68" s="4">
        <v>45816.0</v>
      </c>
      <c r="B68" s="5" t="s">
        <v>93</v>
      </c>
      <c r="C68" s="5" t="s">
        <v>100</v>
      </c>
      <c r="D68" s="5" t="s">
        <v>51</v>
      </c>
      <c r="E68" s="7">
        <v>1.0</v>
      </c>
      <c r="F68" s="7">
        <v>2.0</v>
      </c>
      <c r="G68" s="7">
        <v>4.0</v>
      </c>
    </row>
    <row r="69">
      <c r="A69" s="4">
        <v>45846.0</v>
      </c>
      <c r="B69" s="5" t="s">
        <v>93</v>
      </c>
      <c r="C69" s="5" t="s">
        <v>101</v>
      </c>
      <c r="D69" s="5" t="s">
        <v>102</v>
      </c>
      <c r="E69" s="7">
        <v>1.0</v>
      </c>
      <c r="F69" s="7">
        <v>2.0</v>
      </c>
      <c r="G69" s="7">
        <v>4.0</v>
      </c>
    </row>
    <row r="70">
      <c r="A70" s="4">
        <v>45877.0</v>
      </c>
      <c r="B70" s="5" t="s">
        <v>93</v>
      </c>
      <c r="C70" s="5" t="s">
        <v>103</v>
      </c>
      <c r="D70" s="5" t="s">
        <v>102</v>
      </c>
      <c r="E70" s="7">
        <v>1.0</v>
      </c>
      <c r="F70" s="7">
        <v>2.0</v>
      </c>
      <c r="G70" s="7">
        <v>4.0</v>
      </c>
    </row>
    <row r="71">
      <c r="A71" s="4">
        <v>45908.0</v>
      </c>
      <c r="B71" s="5" t="s">
        <v>93</v>
      </c>
      <c r="C71" s="5" t="s">
        <v>104</v>
      </c>
      <c r="D71" s="5" t="s">
        <v>12</v>
      </c>
      <c r="E71" s="7">
        <v>1.0</v>
      </c>
      <c r="F71" s="7">
        <v>2.0</v>
      </c>
      <c r="G71" s="7">
        <v>4.0</v>
      </c>
    </row>
    <row r="74">
      <c r="A74" s="1"/>
      <c r="B74" s="1"/>
      <c r="C74" s="1"/>
      <c r="D74" s="1"/>
      <c r="E74" s="1"/>
      <c r="F74" s="1"/>
      <c r="G74" s="1"/>
    </row>
    <row r="75">
      <c r="A75" s="4"/>
    </row>
    <row r="76">
      <c r="A76" s="4"/>
      <c r="G76" s="4"/>
    </row>
    <row r="77">
      <c r="A77" s="4"/>
    </row>
    <row r="78">
      <c r="A78" s="4"/>
    </row>
    <row r="79">
      <c r="A79" s="4"/>
      <c r="G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  <c r="G85" s="4"/>
    </row>
    <row r="86">
      <c r="A86" s="4"/>
      <c r="G86" s="4"/>
    </row>
    <row r="87">
      <c r="A87" s="4"/>
    </row>
    <row r="88">
      <c r="A88" s="4"/>
      <c r="G88" s="4"/>
    </row>
    <row r="89">
      <c r="A89" s="4"/>
      <c r="G89" s="4"/>
    </row>
    <row r="90">
      <c r="A90" s="4"/>
    </row>
    <row r="91">
      <c r="A91" s="4"/>
      <c r="G91" s="4"/>
    </row>
    <row r="92">
      <c r="A92" s="4"/>
    </row>
    <row r="93">
      <c r="A93" s="4"/>
    </row>
    <row r="94">
      <c r="A94" s="4"/>
    </row>
    <row r="95">
      <c r="A95" s="4"/>
      <c r="G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  <c r="G101" s="4"/>
    </row>
    <row r="102">
      <c r="A102" s="4"/>
      <c r="G102" s="4"/>
    </row>
    <row r="103">
      <c r="A103" s="4"/>
      <c r="G103" s="4"/>
    </row>
    <row r="104">
      <c r="A104" s="4"/>
      <c r="G104" s="4"/>
    </row>
    <row r="105">
      <c r="A105" s="4"/>
      <c r="G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  <c r="G110" s="4"/>
    </row>
    <row r="111">
      <c r="A111" s="4"/>
    </row>
    <row r="112">
      <c r="A112" s="4"/>
      <c r="F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  <c r="F117" s="4"/>
      <c r="G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  <c r="F122" s="4"/>
      <c r="G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  <c r="F128" s="4"/>
      <c r="G128" s="4"/>
    </row>
    <row r="129">
      <c r="A129" s="4"/>
    </row>
    <row r="130">
      <c r="A130" s="4"/>
      <c r="F130" s="4"/>
      <c r="G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  <c r="G136" s="4"/>
    </row>
    <row r="137">
      <c r="A137" s="4"/>
      <c r="F137" s="4"/>
      <c r="G137" s="4"/>
    </row>
    <row r="138">
      <c r="A138" s="4"/>
      <c r="F138" s="4"/>
      <c r="G138" s="4"/>
    </row>
    <row r="139">
      <c r="A139" s="4"/>
      <c r="F139" s="4"/>
      <c r="G139" s="4"/>
    </row>
    <row r="140">
      <c r="A140" s="4"/>
    </row>
    <row r="141">
      <c r="A141" s="4"/>
      <c r="G141" s="4"/>
    </row>
    <row r="142">
      <c r="A142" s="4"/>
    </row>
    <row r="143">
      <c r="A143" s="4"/>
      <c r="G143" s="4"/>
    </row>
    <row r="144">
      <c r="A144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87.0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105</v>
      </c>
      <c r="F1" s="1" t="s">
        <v>106</v>
      </c>
      <c r="G1" s="1" t="s">
        <v>107</v>
      </c>
    </row>
    <row r="2">
      <c r="A2" s="4">
        <v>45658.0</v>
      </c>
      <c r="B2" s="5" t="s">
        <v>10</v>
      </c>
      <c r="C2" s="5" t="s">
        <v>11</v>
      </c>
      <c r="D2" s="5" t="s">
        <v>12</v>
      </c>
    </row>
    <row r="3">
      <c r="A3" s="4">
        <v>45689.0</v>
      </c>
      <c r="B3" s="5" t="s">
        <v>10</v>
      </c>
      <c r="C3" s="5" t="s">
        <v>14</v>
      </c>
      <c r="D3" s="5" t="s">
        <v>12</v>
      </c>
    </row>
    <row r="4">
      <c r="A4" s="4">
        <v>45717.0</v>
      </c>
      <c r="B4" s="5" t="s">
        <v>10</v>
      </c>
      <c r="C4" s="5" t="s">
        <v>16</v>
      </c>
      <c r="D4" s="5" t="s">
        <v>12</v>
      </c>
    </row>
    <row r="5">
      <c r="A5" s="4">
        <v>45748.0</v>
      </c>
      <c r="B5" s="5" t="s">
        <v>10</v>
      </c>
      <c r="C5" s="5" t="s">
        <v>18</v>
      </c>
      <c r="D5" s="5" t="s">
        <v>12</v>
      </c>
    </row>
    <row r="6">
      <c r="A6" s="4">
        <v>45778.0</v>
      </c>
      <c r="B6" s="5" t="s">
        <v>10</v>
      </c>
      <c r="C6" s="5" t="s">
        <v>20</v>
      </c>
      <c r="D6" s="5" t="s">
        <v>12</v>
      </c>
    </row>
    <row r="7">
      <c r="A7" s="4">
        <v>45809.0</v>
      </c>
      <c r="B7" s="5" t="s">
        <v>10</v>
      </c>
      <c r="C7" s="5" t="s">
        <v>21</v>
      </c>
      <c r="D7" s="5" t="s">
        <v>12</v>
      </c>
    </row>
    <row r="8">
      <c r="A8" s="4">
        <v>45659.0</v>
      </c>
      <c r="B8" s="5" t="s">
        <v>23</v>
      </c>
      <c r="C8" s="5" t="s">
        <v>24</v>
      </c>
      <c r="D8" s="5" t="s">
        <v>25</v>
      </c>
    </row>
    <row r="9">
      <c r="A9" s="4">
        <v>45690.0</v>
      </c>
      <c r="B9" s="5" t="s">
        <v>23</v>
      </c>
      <c r="C9" s="5" t="s">
        <v>27</v>
      </c>
      <c r="D9" s="5" t="s">
        <v>25</v>
      </c>
    </row>
    <row r="10">
      <c r="A10" s="4">
        <v>45718.0</v>
      </c>
      <c r="B10" s="5" t="s">
        <v>23</v>
      </c>
      <c r="C10" s="5" t="s">
        <v>28</v>
      </c>
      <c r="D10" s="5" t="s">
        <v>25</v>
      </c>
    </row>
    <row r="11">
      <c r="A11" s="4">
        <v>45749.0</v>
      </c>
      <c r="B11" s="5" t="s">
        <v>23</v>
      </c>
      <c r="C11" s="5" t="s">
        <v>30</v>
      </c>
      <c r="D11" s="5" t="s">
        <v>25</v>
      </c>
    </row>
    <row r="12">
      <c r="A12" s="4">
        <v>45779.0</v>
      </c>
      <c r="B12" s="5" t="s">
        <v>23</v>
      </c>
      <c r="C12" s="5" t="s">
        <v>31</v>
      </c>
      <c r="D12" s="5" t="s">
        <v>25</v>
      </c>
    </row>
    <row r="13">
      <c r="A13" s="4">
        <v>45810.0</v>
      </c>
      <c r="B13" s="5" t="s">
        <v>23</v>
      </c>
      <c r="C13" s="5" t="s">
        <v>32</v>
      </c>
      <c r="D13" s="5" t="s">
        <v>25</v>
      </c>
    </row>
    <row r="14">
      <c r="A14" s="4">
        <v>45840.0</v>
      </c>
      <c r="B14" s="5" t="s">
        <v>23</v>
      </c>
      <c r="C14" s="5" t="s">
        <v>33</v>
      </c>
      <c r="D14" s="5" t="s">
        <v>12</v>
      </c>
    </row>
    <row r="15">
      <c r="A15" s="4">
        <v>45660.0</v>
      </c>
      <c r="B15" s="5" t="s">
        <v>34</v>
      </c>
      <c r="C15" s="5" t="s">
        <v>35</v>
      </c>
      <c r="D15" s="5" t="s">
        <v>36</v>
      </c>
    </row>
    <row r="16">
      <c r="A16" s="4">
        <v>45691.0</v>
      </c>
      <c r="B16" s="5" t="s">
        <v>34</v>
      </c>
      <c r="C16" s="5" t="s">
        <v>37</v>
      </c>
      <c r="D16" s="5" t="s">
        <v>36</v>
      </c>
    </row>
    <row r="17">
      <c r="A17" s="4">
        <v>45719.0</v>
      </c>
      <c r="B17" s="5" t="s">
        <v>34</v>
      </c>
      <c r="C17" s="5" t="s">
        <v>38</v>
      </c>
      <c r="D17" s="5" t="s">
        <v>36</v>
      </c>
    </row>
    <row r="18">
      <c r="A18" s="4">
        <v>45750.0</v>
      </c>
      <c r="B18" s="5" t="s">
        <v>34</v>
      </c>
      <c r="C18" s="5" t="s">
        <v>39</v>
      </c>
      <c r="D18" s="5" t="s">
        <v>36</v>
      </c>
    </row>
    <row r="19">
      <c r="A19" s="4">
        <v>45780.0</v>
      </c>
      <c r="B19" s="5" t="s">
        <v>34</v>
      </c>
      <c r="C19" s="5" t="s">
        <v>40</v>
      </c>
      <c r="D19" s="5" t="s">
        <v>36</v>
      </c>
    </row>
    <row r="20">
      <c r="A20" s="4">
        <v>45811.0</v>
      </c>
      <c r="B20" s="5" t="s">
        <v>34</v>
      </c>
      <c r="C20" s="5" t="s">
        <v>41</v>
      </c>
      <c r="D20" s="5" t="s">
        <v>36</v>
      </c>
    </row>
    <row r="21">
      <c r="A21" s="4">
        <v>45841.0</v>
      </c>
      <c r="B21" s="5" t="s">
        <v>34</v>
      </c>
      <c r="C21" s="5" t="s">
        <v>42</v>
      </c>
      <c r="D21" s="5" t="s">
        <v>36</v>
      </c>
    </row>
    <row r="22">
      <c r="A22" s="4">
        <v>45872.0</v>
      </c>
      <c r="B22" s="5" t="s">
        <v>34</v>
      </c>
      <c r="C22" s="5" t="s">
        <v>43</v>
      </c>
      <c r="D22" s="5" t="s">
        <v>36</v>
      </c>
    </row>
    <row r="23">
      <c r="A23" s="4">
        <v>45661.0</v>
      </c>
      <c r="B23" s="5" t="s">
        <v>44</v>
      </c>
      <c r="C23" s="5" t="s">
        <v>45</v>
      </c>
      <c r="D23" s="5" t="s">
        <v>46</v>
      </c>
    </row>
    <row r="24">
      <c r="A24" s="4">
        <v>45692.0</v>
      </c>
      <c r="B24" s="5" t="s">
        <v>44</v>
      </c>
      <c r="C24" s="5" t="s">
        <v>47</v>
      </c>
      <c r="D24" s="5" t="s">
        <v>46</v>
      </c>
    </row>
    <row r="25">
      <c r="A25" s="4">
        <v>45720.0</v>
      </c>
      <c r="B25" s="5" t="s">
        <v>44</v>
      </c>
      <c r="C25" s="5" t="s">
        <v>48</v>
      </c>
      <c r="D25" s="5" t="s">
        <v>46</v>
      </c>
    </row>
    <row r="26">
      <c r="A26" s="4">
        <v>45751.0</v>
      </c>
      <c r="B26" s="5" t="s">
        <v>44</v>
      </c>
      <c r="C26" s="5" t="s">
        <v>49</v>
      </c>
      <c r="D26" s="5" t="s">
        <v>46</v>
      </c>
    </row>
    <row r="27">
      <c r="A27" s="4">
        <v>45781.0</v>
      </c>
      <c r="B27" s="5" t="s">
        <v>44</v>
      </c>
      <c r="C27" s="5" t="s">
        <v>50</v>
      </c>
      <c r="D27" s="5" t="s">
        <v>51</v>
      </c>
    </row>
    <row r="28">
      <c r="A28" s="4">
        <v>45812.0</v>
      </c>
      <c r="B28" s="5" t="s">
        <v>44</v>
      </c>
      <c r="C28" s="5" t="s">
        <v>52</v>
      </c>
      <c r="D28" s="5" t="s">
        <v>51</v>
      </c>
    </row>
    <row r="29">
      <c r="A29" s="4">
        <v>45842.0</v>
      </c>
      <c r="B29" s="5" t="s">
        <v>44</v>
      </c>
      <c r="C29" s="5" t="s">
        <v>53</v>
      </c>
      <c r="D29" s="5" t="s">
        <v>51</v>
      </c>
    </row>
    <row r="30">
      <c r="A30" s="4">
        <v>45873.0</v>
      </c>
      <c r="B30" s="5" t="s">
        <v>44</v>
      </c>
      <c r="C30" s="5" t="s">
        <v>54</v>
      </c>
      <c r="D30" s="5" t="s">
        <v>51</v>
      </c>
    </row>
    <row r="31">
      <c r="A31" s="4">
        <v>45662.0</v>
      </c>
      <c r="B31" s="5" t="s">
        <v>55</v>
      </c>
      <c r="C31" s="5" t="s">
        <v>56</v>
      </c>
      <c r="D31" s="5" t="s">
        <v>57</v>
      </c>
    </row>
    <row r="32">
      <c r="A32" s="4">
        <v>45693.0</v>
      </c>
      <c r="B32" s="5" t="s">
        <v>55</v>
      </c>
      <c r="C32" s="5" t="s">
        <v>58</v>
      </c>
      <c r="D32" s="5" t="s">
        <v>57</v>
      </c>
    </row>
    <row r="33">
      <c r="A33" s="4">
        <v>45721.0</v>
      </c>
      <c r="B33" s="5" t="s">
        <v>55</v>
      </c>
      <c r="C33" s="5" t="s">
        <v>59</v>
      </c>
      <c r="D33" s="5" t="s">
        <v>57</v>
      </c>
    </row>
    <row r="34">
      <c r="A34" s="4">
        <v>45752.0</v>
      </c>
      <c r="B34" s="5" t="s">
        <v>55</v>
      </c>
      <c r="C34" s="5" t="s">
        <v>60</v>
      </c>
      <c r="D34" s="5" t="s">
        <v>57</v>
      </c>
    </row>
    <row r="35">
      <c r="A35" s="4">
        <v>45782.0</v>
      </c>
      <c r="B35" s="5" t="s">
        <v>55</v>
      </c>
      <c r="C35" s="5" t="s">
        <v>61</v>
      </c>
      <c r="D35" s="5" t="s">
        <v>57</v>
      </c>
    </row>
    <row r="36">
      <c r="A36" s="4">
        <v>45813.0</v>
      </c>
      <c r="B36" s="5" t="s">
        <v>55</v>
      </c>
      <c r="C36" s="5" t="s">
        <v>62</v>
      </c>
      <c r="D36" s="5" t="s">
        <v>57</v>
      </c>
    </row>
    <row r="37">
      <c r="A37" s="4">
        <v>45843.0</v>
      </c>
      <c r="B37" s="5" t="s">
        <v>55</v>
      </c>
      <c r="C37" s="5" t="s">
        <v>63</v>
      </c>
      <c r="D37" s="5" t="s">
        <v>57</v>
      </c>
    </row>
    <row r="38">
      <c r="A38" s="4">
        <v>45874.0</v>
      </c>
      <c r="B38" s="5" t="s">
        <v>55</v>
      </c>
      <c r="C38" s="5" t="s">
        <v>64</v>
      </c>
      <c r="D38" s="5" t="s">
        <v>57</v>
      </c>
    </row>
    <row r="39">
      <c r="A39" s="4">
        <v>45905.0</v>
      </c>
      <c r="B39" s="5" t="s">
        <v>55</v>
      </c>
      <c r="C39" s="5" t="s">
        <v>65</v>
      </c>
      <c r="D39" s="5" t="s">
        <v>57</v>
      </c>
    </row>
    <row r="40">
      <c r="A40" s="4">
        <v>45935.0</v>
      </c>
      <c r="B40" s="5" t="s">
        <v>55</v>
      </c>
      <c r="C40" s="5" t="s">
        <v>66</v>
      </c>
      <c r="D40" s="5" t="s">
        <v>57</v>
      </c>
    </row>
    <row r="41">
      <c r="A41" s="4">
        <v>45663.0</v>
      </c>
      <c r="B41" s="5" t="s">
        <v>67</v>
      </c>
      <c r="C41" s="5" t="s">
        <v>68</v>
      </c>
      <c r="D41" s="5" t="s">
        <v>69</v>
      </c>
    </row>
    <row r="42">
      <c r="A42" s="4">
        <v>45694.0</v>
      </c>
      <c r="B42" s="5" t="s">
        <v>67</v>
      </c>
      <c r="C42" s="5" t="s">
        <v>70</v>
      </c>
      <c r="D42" s="5" t="s">
        <v>69</v>
      </c>
    </row>
    <row r="43">
      <c r="A43" s="4">
        <v>45722.0</v>
      </c>
      <c r="B43" s="5" t="s">
        <v>67</v>
      </c>
      <c r="C43" s="5" t="s">
        <v>71</v>
      </c>
      <c r="D43" s="5" t="s">
        <v>69</v>
      </c>
    </row>
    <row r="44">
      <c r="A44" s="4">
        <v>45753.0</v>
      </c>
      <c r="B44" s="5" t="s">
        <v>67</v>
      </c>
      <c r="C44" s="5" t="s">
        <v>72</v>
      </c>
      <c r="D44" s="5" t="s">
        <v>69</v>
      </c>
    </row>
    <row r="45">
      <c r="A45" s="4">
        <v>45783.0</v>
      </c>
      <c r="B45" s="5" t="s">
        <v>67</v>
      </c>
      <c r="C45" s="5" t="s">
        <v>73</v>
      </c>
      <c r="D45" s="5" t="s">
        <v>69</v>
      </c>
    </row>
    <row r="46">
      <c r="A46" s="4">
        <v>45814.0</v>
      </c>
      <c r="B46" s="5" t="s">
        <v>67</v>
      </c>
      <c r="C46" s="5" t="s">
        <v>74</v>
      </c>
      <c r="D46" s="5" t="s">
        <v>69</v>
      </c>
    </row>
    <row r="47">
      <c r="A47" s="4">
        <v>45844.0</v>
      </c>
      <c r="B47" s="5" t="s">
        <v>67</v>
      </c>
      <c r="C47" s="5" t="s">
        <v>75</v>
      </c>
      <c r="D47" s="5" t="s">
        <v>69</v>
      </c>
    </row>
    <row r="48">
      <c r="A48" s="4">
        <v>45875.0</v>
      </c>
      <c r="B48" s="5" t="s">
        <v>67</v>
      </c>
      <c r="C48" s="5" t="s">
        <v>76</v>
      </c>
      <c r="D48" s="5" t="s">
        <v>69</v>
      </c>
    </row>
    <row r="49">
      <c r="A49" s="4">
        <v>45906.0</v>
      </c>
      <c r="B49" s="5" t="s">
        <v>67</v>
      </c>
      <c r="C49" s="5" t="s">
        <v>77</v>
      </c>
      <c r="D49" s="5" t="s">
        <v>69</v>
      </c>
    </row>
    <row r="50">
      <c r="A50" s="4">
        <v>45936.0</v>
      </c>
      <c r="B50" s="5" t="s">
        <v>67</v>
      </c>
      <c r="C50" s="5" t="s">
        <v>78</v>
      </c>
      <c r="D50" s="5" t="s">
        <v>69</v>
      </c>
    </row>
    <row r="51">
      <c r="A51" s="4">
        <v>45967.0</v>
      </c>
      <c r="B51" s="5" t="s">
        <v>67</v>
      </c>
      <c r="C51" s="5" t="s">
        <v>79</v>
      </c>
      <c r="D51" s="5" t="s">
        <v>69</v>
      </c>
    </row>
    <row r="52">
      <c r="A52" s="4">
        <v>45664.0</v>
      </c>
      <c r="B52" s="5" t="s">
        <v>80</v>
      </c>
      <c r="C52" s="5" t="s">
        <v>81</v>
      </c>
      <c r="D52" s="5" t="s">
        <v>82</v>
      </c>
    </row>
    <row r="53">
      <c r="A53" s="4">
        <v>45695.0</v>
      </c>
      <c r="B53" s="5" t="s">
        <v>80</v>
      </c>
      <c r="C53" s="5" t="s">
        <v>83</v>
      </c>
      <c r="D53" s="5" t="s">
        <v>82</v>
      </c>
    </row>
    <row r="54">
      <c r="A54" s="4">
        <v>45723.0</v>
      </c>
      <c r="B54" s="5" t="s">
        <v>80</v>
      </c>
      <c r="C54" s="5" t="s">
        <v>84</v>
      </c>
      <c r="D54" s="5" t="s">
        <v>82</v>
      </c>
    </row>
    <row r="55">
      <c r="A55" s="4">
        <v>45754.0</v>
      </c>
      <c r="B55" s="5" t="s">
        <v>80</v>
      </c>
      <c r="C55" s="5" t="s">
        <v>85</v>
      </c>
      <c r="D55" s="5" t="s">
        <v>82</v>
      </c>
    </row>
    <row r="56">
      <c r="A56" s="4">
        <v>45784.0</v>
      </c>
      <c r="B56" s="5" t="s">
        <v>80</v>
      </c>
      <c r="C56" s="5" t="s">
        <v>86</v>
      </c>
      <c r="D56" s="5" t="s">
        <v>82</v>
      </c>
    </row>
    <row r="57">
      <c r="A57" s="4">
        <v>45815.0</v>
      </c>
      <c r="B57" s="5" t="s">
        <v>80</v>
      </c>
      <c r="C57" s="5" t="s">
        <v>87</v>
      </c>
      <c r="D57" s="5" t="s">
        <v>82</v>
      </c>
    </row>
    <row r="58">
      <c r="A58" s="4">
        <v>45845.0</v>
      </c>
      <c r="B58" s="5" t="s">
        <v>80</v>
      </c>
      <c r="C58" s="5" t="s">
        <v>88</v>
      </c>
      <c r="D58" s="5" t="s">
        <v>82</v>
      </c>
    </row>
    <row r="59">
      <c r="A59" s="4">
        <v>45876.0</v>
      </c>
      <c r="B59" s="5" t="s">
        <v>80</v>
      </c>
      <c r="C59" s="5" t="s">
        <v>89</v>
      </c>
      <c r="D59" s="5" t="s">
        <v>82</v>
      </c>
    </row>
    <row r="60">
      <c r="A60" s="4">
        <v>45907.0</v>
      </c>
      <c r="B60" s="5" t="s">
        <v>80</v>
      </c>
      <c r="C60" s="5" t="s">
        <v>90</v>
      </c>
      <c r="D60" s="5" t="s">
        <v>82</v>
      </c>
    </row>
    <row r="61">
      <c r="A61" s="4">
        <v>45937.0</v>
      </c>
      <c r="B61" s="5" t="s">
        <v>80</v>
      </c>
      <c r="C61" s="5" t="s">
        <v>91</v>
      </c>
      <c r="D61" s="5" t="s">
        <v>82</v>
      </c>
    </row>
    <row r="62">
      <c r="A62" s="4">
        <v>45968.0</v>
      </c>
      <c r="B62" s="5" t="s">
        <v>80</v>
      </c>
      <c r="C62" s="5" t="s">
        <v>92</v>
      </c>
      <c r="D62" s="5" t="s">
        <v>82</v>
      </c>
    </row>
    <row r="63">
      <c r="A63" s="4">
        <v>45665.0</v>
      </c>
      <c r="B63" s="5" t="s">
        <v>93</v>
      </c>
      <c r="C63" s="5" t="s">
        <v>94</v>
      </c>
      <c r="D63" s="5" t="s">
        <v>95</v>
      </c>
    </row>
    <row r="64">
      <c r="A64" s="4">
        <v>45696.0</v>
      </c>
      <c r="B64" s="5" t="s">
        <v>93</v>
      </c>
      <c r="C64" s="5" t="s">
        <v>96</v>
      </c>
      <c r="D64" s="5" t="s">
        <v>95</v>
      </c>
    </row>
    <row r="65">
      <c r="A65" s="4">
        <v>45724.0</v>
      </c>
      <c r="B65" s="5" t="s">
        <v>93</v>
      </c>
      <c r="C65" s="5" t="s">
        <v>97</v>
      </c>
      <c r="D65" s="5" t="s">
        <v>95</v>
      </c>
    </row>
    <row r="66">
      <c r="A66" s="4">
        <v>45755.0</v>
      </c>
      <c r="B66" s="5" t="s">
        <v>93</v>
      </c>
      <c r="C66" s="5" t="s">
        <v>98</v>
      </c>
      <c r="D66" s="5" t="s">
        <v>95</v>
      </c>
    </row>
    <row r="67">
      <c r="A67" s="4">
        <v>45785.0</v>
      </c>
      <c r="B67" s="5" t="s">
        <v>93</v>
      </c>
      <c r="C67" s="5" t="s">
        <v>99</v>
      </c>
      <c r="D67" s="5" t="s">
        <v>95</v>
      </c>
    </row>
    <row r="68">
      <c r="A68" s="4">
        <v>45816.0</v>
      </c>
      <c r="B68" s="5" t="s">
        <v>93</v>
      </c>
      <c r="C68" s="5" t="s">
        <v>100</v>
      </c>
      <c r="D68" s="5" t="s">
        <v>51</v>
      </c>
    </row>
    <row r="69">
      <c r="A69" s="4">
        <v>45846.0</v>
      </c>
      <c r="B69" s="5" t="s">
        <v>93</v>
      </c>
      <c r="C69" s="5" t="s">
        <v>101</v>
      </c>
      <c r="D69" s="5" t="s">
        <v>102</v>
      </c>
    </row>
    <row r="70">
      <c r="A70" s="4">
        <v>45877.0</v>
      </c>
      <c r="B70" s="5" t="s">
        <v>93</v>
      </c>
      <c r="C70" s="5" t="s">
        <v>103</v>
      </c>
      <c r="D70" s="5" t="s">
        <v>102</v>
      </c>
    </row>
    <row r="71">
      <c r="A71" s="4">
        <v>45908.0</v>
      </c>
      <c r="B71" s="5" t="s">
        <v>93</v>
      </c>
      <c r="C71" s="5" t="s">
        <v>104</v>
      </c>
      <c r="D71" s="5" t="s">
        <v>12</v>
      </c>
    </row>
    <row r="74">
      <c r="A74" s="1"/>
      <c r="B74" s="1"/>
      <c r="C74" s="1"/>
      <c r="D74" s="1"/>
      <c r="E74" s="1"/>
      <c r="F74" s="1"/>
      <c r="G74" s="1"/>
    </row>
    <row r="75">
      <c r="A75" s="4"/>
    </row>
    <row r="76">
      <c r="A76" s="4"/>
      <c r="G76" s="4"/>
    </row>
    <row r="77">
      <c r="A77" s="4"/>
    </row>
    <row r="78">
      <c r="A78" s="4"/>
    </row>
    <row r="79">
      <c r="A79" s="4"/>
      <c r="G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  <c r="G85" s="4"/>
    </row>
    <row r="86">
      <c r="A86" s="4"/>
      <c r="G86" s="4"/>
    </row>
    <row r="87">
      <c r="A87" s="4"/>
    </row>
    <row r="88">
      <c r="A88" s="4"/>
      <c r="G88" s="4"/>
    </row>
    <row r="89">
      <c r="A89" s="4"/>
      <c r="G89" s="4"/>
    </row>
    <row r="90">
      <c r="A90" s="4"/>
    </row>
    <row r="91">
      <c r="A91" s="4"/>
      <c r="G91" s="4"/>
    </row>
    <row r="92">
      <c r="A92" s="4"/>
    </row>
    <row r="93">
      <c r="A93" s="4"/>
    </row>
    <row r="94">
      <c r="A94" s="4"/>
    </row>
    <row r="95">
      <c r="A95" s="4"/>
      <c r="G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  <c r="G101" s="4"/>
    </row>
    <row r="102">
      <c r="A102" s="4"/>
      <c r="G102" s="4"/>
    </row>
    <row r="103">
      <c r="A103" s="4"/>
      <c r="G103" s="4"/>
    </row>
    <row r="104">
      <c r="A104" s="4"/>
      <c r="G104" s="4"/>
    </row>
    <row r="105">
      <c r="A105" s="4"/>
      <c r="G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  <c r="G110" s="4"/>
    </row>
    <row r="111">
      <c r="A111" s="4"/>
    </row>
    <row r="112">
      <c r="A112" s="4"/>
      <c r="F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  <c r="F117" s="4"/>
      <c r="G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  <c r="F122" s="4"/>
      <c r="G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  <c r="F128" s="4"/>
      <c r="G128" s="4"/>
    </row>
    <row r="129">
      <c r="A129" s="4"/>
    </row>
    <row r="130">
      <c r="A130" s="4"/>
      <c r="F130" s="4"/>
      <c r="G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  <c r="G136" s="4"/>
    </row>
    <row r="137">
      <c r="A137" s="4"/>
      <c r="F137" s="4"/>
      <c r="G137" s="4"/>
    </row>
    <row r="138">
      <c r="A138" s="4"/>
      <c r="F138" s="4"/>
      <c r="G138" s="4"/>
    </row>
    <row r="139">
      <c r="A139" s="4"/>
      <c r="F139" s="4"/>
      <c r="G139" s="4"/>
    </row>
    <row r="140">
      <c r="A140" s="4"/>
    </row>
    <row r="141">
      <c r="A141" s="4"/>
      <c r="G141" s="4"/>
    </row>
    <row r="142">
      <c r="A142" s="4"/>
    </row>
    <row r="143">
      <c r="A143" s="4"/>
      <c r="G143" s="4"/>
    </row>
    <row r="144">
      <c r="A144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3.13"/>
    <col customWidth="1" min="3" max="3" width="28.25"/>
    <col customWidth="1" min="4" max="4" width="20.88"/>
    <col customWidth="1" min="5" max="5" width="26.88"/>
  </cols>
  <sheetData>
    <row r="1">
      <c r="A1" s="8"/>
      <c r="B1" s="8"/>
      <c r="C1" s="8"/>
      <c r="D1" s="8"/>
      <c r="E1" s="8"/>
    </row>
    <row r="2">
      <c r="A2" s="9" t="s">
        <v>0</v>
      </c>
      <c r="B2" s="9" t="s">
        <v>108</v>
      </c>
      <c r="C2" s="9" t="s">
        <v>109</v>
      </c>
      <c r="D2" s="9" t="s">
        <v>110</v>
      </c>
      <c r="E2" s="8"/>
    </row>
    <row r="3">
      <c r="A3" s="10" t="s">
        <v>111</v>
      </c>
      <c r="B3" s="10" t="s">
        <v>112</v>
      </c>
      <c r="C3" s="10" t="s">
        <v>113</v>
      </c>
      <c r="D3" s="11">
        <v>5.0</v>
      </c>
      <c r="E3" s="8"/>
    </row>
    <row r="4">
      <c r="A4" s="10" t="s">
        <v>114</v>
      </c>
      <c r="B4" s="10" t="s">
        <v>115</v>
      </c>
      <c r="C4" s="10" t="s">
        <v>116</v>
      </c>
      <c r="D4" s="11">
        <v>10.0</v>
      </c>
      <c r="E4" s="8"/>
    </row>
    <row r="5">
      <c r="A5" s="10" t="s">
        <v>117</v>
      </c>
      <c r="B5" s="10" t="s">
        <v>118</v>
      </c>
      <c r="C5" s="10" t="s">
        <v>113</v>
      </c>
      <c r="D5" s="11">
        <v>5.0</v>
      </c>
      <c r="E5" s="8"/>
    </row>
    <row r="6">
      <c r="A6" s="10" t="s">
        <v>119</v>
      </c>
      <c r="B6" s="10" t="s">
        <v>120</v>
      </c>
      <c r="C6" s="10" t="s">
        <v>116</v>
      </c>
      <c r="D6" s="11">
        <v>10.0</v>
      </c>
      <c r="E6" s="8"/>
    </row>
    <row r="7">
      <c r="A7" s="10" t="s">
        <v>121</v>
      </c>
      <c r="B7" s="10" t="s">
        <v>122</v>
      </c>
      <c r="C7" s="10" t="s">
        <v>116</v>
      </c>
      <c r="D7" s="11">
        <v>10.0</v>
      </c>
      <c r="E7" s="8"/>
    </row>
    <row r="8">
      <c r="A8" s="10" t="s">
        <v>123</v>
      </c>
      <c r="B8" s="10" t="s">
        <v>124</v>
      </c>
      <c r="C8" s="10" t="s">
        <v>125</v>
      </c>
      <c r="D8" s="11">
        <v>15.0</v>
      </c>
      <c r="E8" s="8"/>
    </row>
    <row r="9">
      <c r="A9" s="10" t="s">
        <v>126</v>
      </c>
      <c r="B9" s="10" t="s">
        <v>127</v>
      </c>
      <c r="C9" s="10" t="s">
        <v>125</v>
      </c>
      <c r="D9" s="11">
        <v>15.0</v>
      </c>
      <c r="E9" s="8"/>
    </row>
    <row r="10">
      <c r="A10" s="10" t="s">
        <v>128</v>
      </c>
      <c r="B10" s="10" t="s">
        <v>129</v>
      </c>
      <c r="C10" s="10" t="s">
        <v>125</v>
      </c>
      <c r="D10" s="11">
        <v>15.0</v>
      </c>
      <c r="E10" s="8"/>
    </row>
    <row r="11">
      <c r="A11" s="10" t="s">
        <v>130</v>
      </c>
      <c r="B11" s="10" t="s">
        <v>131</v>
      </c>
      <c r="C11" s="10" t="s">
        <v>125</v>
      </c>
      <c r="D11" s="11">
        <v>15.0</v>
      </c>
      <c r="E11" s="8"/>
    </row>
    <row r="12">
      <c r="A12" s="10" t="s">
        <v>132</v>
      </c>
      <c r="B12" s="10" t="s">
        <v>133</v>
      </c>
      <c r="C12" s="10" t="s">
        <v>116</v>
      </c>
      <c r="D12" s="11">
        <v>10.0</v>
      </c>
      <c r="E12" s="8"/>
    </row>
    <row r="13">
      <c r="A13" s="10" t="s">
        <v>134</v>
      </c>
      <c r="B13" s="10" t="s">
        <v>135</v>
      </c>
      <c r="C13" s="10" t="s">
        <v>136</v>
      </c>
      <c r="D13" s="11">
        <v>25.0</v>
      </c>
      <c r="E13" s="8"/>
    </row>
    <row r="14">
      <c r="A14" s="10"/>
      <c r="B14" s="12"/>
      <c r="C14" s="12"/>
      <c r="D14" s="11">
        <f>SUM(D3:D13)</f>
        <v>135</v>
      </c>
      <c r="E14" s="13" t="s">
        <v>137</v>
      </c>
      <c r="F14" s="13"/>
    </row>
    <row r="15">
      <c r="A15" s="10"/>
      <c r="C15" s="12"/>
      <c r="D15" s="11">
        <f>D14 * 1.3</f>
        <v>175.5</v>
      </c>
      <c r="E15" s="13" t="s">
        <v>138</v>
      </c>
    </row>
    <row r="16">
      <c r="A16" s="10"/>
      <c r="C16" s="14"/>
      <c r="D16" s="11">
        <v>5.0</v>
      </c>
      <c r="E16" s="13" t="s">
        <v>139</v>
      </c>
    </row>
    <row r="17">
      <c r="A17" s="10"/>
      <c r="C17" s="14"/>
      <c r="D17" s="11">
        <f>D15/D16</f>
        <v>35.1</v>
      </c>
      <c r="E17" s="13" t="s">
        <v>140</v>
      </c>
    </row>
    <row r="18">
      <c r="A18" s="10"/>
      <c r="C18" s="14"/>
      <c r="D18" s="11">
        <f>D17/20</f>
        <v>1.755</v>
      </c>
      <c r="E18" s="13" t="s">
        <v>141</v>
      </c>
    </row>
    <row r="19">
      <c r="C19" s="8"/>
    </row>
    <row r="20">
      <c r="C20" s="8"/>
    </row>
    <row r="21">
      <c r="C21" s="8"/>
    </row>
  </sheetData>
  <mergeCells count="8">
    <mergeCell ref="A15:B15"/>
    <mergeCell ref="E15:F15"/>
    <mergeCell ref="A16:B16"/>
    <mergeCell ref="E16:F16"/>
    <mergeCell ref="A17:B17"/>
    <mergeCell ref="E17:F17"/>
    <mergeCell ref="A18:B18"/>
    <mergeCell ref="E18:F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63"/>
    <col customWidth="1" min="4" max="4" width="87.25"/>
    <col customWidth="1" min="5" max="5" width="21.38"/>
    <col customWidth="1" min="6" max="6" width="22.63"/>
  </cols>
  <sheetData>
    <row r="1">
      <c r="A1" s="1" t="s">
        <v>142</v>
      </c>
      <c r="B1" s="1" t="s">
        <v>0</v>
      </c>
      <c r="C1" s="1" t="s">
        <v>1</v>
      </c>
      <c r="D1" s="1" t="s">
        <v>2</v>
      </c>
      <c r="E1" s="1" t="s">
        <v>143</v>
      </c>
      <c r="F1" s="1" t="s">
        <v>144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5">
        <v>1.0</v>
      </c>
      <c r="B2" s="4">
        <v>45658.0</v>
      </c>
      <c r="C2" s="5" t="s">
        <v>10</v>
      </c>
      <c r="D2" s="5" t="s">
        <v>11</v>
      </c>
      <c r="E2" s="5" t="s">
        <v>145</v>
      </c>
      <c r="F2" s="5">
        <v>1.53</v>
      </c>
    </row>
    <row r="3">
      <c r="A3" s="5">
        <v>2.0</v>
      </c>
      <c r="B3" s="4">
        <v>45689.0</v>
      </c>
      <c r="C3" s="5" t="s">
        <v>10</v>
      </c>
      <c r="D3" s="5" t="s">
        <v>14</v>
      </c>
      <c r="E3" s="5" t="s">
        <v>145</v>
      </c>
      <c r="F3" s="5">
        <v>1.37</v>
      </c>
    </row>
    <row r="4">
      <c r="A4" s="5">
        <v>3.0</v>
      </c>
      <c r="B4" s="4">
        <v>45717.0</v>
      </c>
      <c r="C4" s="5" t="s">
        <v>10</v>
      </c>
      <c r="D4" s="5" t="s">
        <v>16</v>
      </c>
      <c r="E4" s="5" t="s">
        <v>145</v>
      </c>
      <c r="F4" s="5">
        <v>1.95</v>
      </c>
    </row>
    <row r="5">
      <c r="A5" s="5">
        <v>4.0</v>
      </c>
      <c r="B5" s="4">
        <v>45748.0</v>
      </c>
      <c r="C5" s="5" t="s">
        <v>10</v>
      </c>
      <c r="D5" s="5" t="s">
        <v>18</v>
      </c>
      <c r="E5" s="5" t="s">
        <v>145</v>
      </c>
      <c r="F5" s="5">
        <v>1.15</v>
      </c>
    </row>
    <row r="6">
      <c r="A6" s="5">
        <v>5.0</v>
      </c>
      <c r="B6" s="4">
        <v>45778.0</v>
      </c>
      <c r="C6" s="5" t="s">
        <v>10</v>
      </c>
      <c r="D6" s="5" t="s">
        <v>20</v>
      </c>
      <c r="E6" s="5" t="s">
        <v>145</v>
      </c>
      <c r="F6" s="5">
        <v>1.77</v>
      </c>
    </row>
    <row r="7">
      <c r="A7" s="5">
        <v>6.0</v>
      </c>
      <c r="B7" s="4">
        <v>45809.0</v>
      </c>
      <c r="C7" s="5" t="s">
        <v>10</v>
      </c>
      <c r="D7" s="5" t="s">
        <v>21</v>
      </c>
      <c r="E7" s="5" t="s">
        <v>145</v>
      </c>
      <c r="F7" s="5">
        <v>1.98</v>
      </c>
    </row>
    <row r="8">
      <c r="A8" s="5">
        <v>7.0</v>
      </c>
      <c r="B8" s="4">
        <v>45659.0</v>
      </c>
      <c r="C8" s="5" t="s">
        <v>23</v>
      </c>
      <c r="D8" s="5" t="s">
        <v>24</v>
      </c>
      <c r="E8" s="5" t="s">
        <v>146</v>
      </c>
      <c r="F8" s="5">
        <v>2.12</v>
      </c>
    </row>
    <row r="9">
      <c r="A9" s="5">
        <v>8.0</v>
      </c>
      <c r="B9" s="4">
        <v>45690.0</v>
      </c>
      <c r="C9" s="5" t="s">
        <v>23</v>
      </c>
      <c r="D9" s="5" t="s">
        <v>27</v>
      </c>
      <c r="E9" s="5" t="s">
        <v>146</v>
      </c>
      <c r="F9" s="5">
        <v>2.03</v>
      </c>
    </row>
    <row r="10">
      <c r="A10" s="5">
        <v>9.0</v>
      </c>
      <c r="B10" s="4">
        <v>45718.0</v>
      </c>
      <c r="C10" s="5" t="s">
        <v>23</v>
      </c>
      <c r="D10" s="5" t="s">
        <v>28</v>
      </c>
      <c r="E10" s="5" t="s">
        <v>146</v>
      </c>
      <c r="F10" s="5">
        <v>1.75</v>
      </c>
    </row>
    <row r="11">
      <c r="A11" s="5">
        <v>10.0</v>
      </c>
      <c r="B11" s="4">
        <v>45749.0</v>
      </c>
      <c r="C11" s="5" t="s">
        <v>23</v>
      </c>
      <c r="D11" s="5" t="s">
        <v>30</v>
      </c>
      <c r="E11" s="5" t="s">
        <v>146</v>
      </c>
      <c r="F11" s="5">
        <v>0.97</v>
      </c>
    </row>
    <row r="12">
      <c r="A12" s="5">
        <v>11.0</v>
      </c>
      <c r="B12" s="4">
        <v>45779.0</v>
      </c>
      <c r="C12" s="5" t="s">
        <v>23</v>
      </c>
      <c r="D12" s="5" t="s">
        <v>31</v>
      </c>
      <c r="E12" s="5" t="s">
        <v>146</v>
      </c>
      <c r="F12" s="5">
        <v>2.18</v>
      </c>
    </row>
    <row r="13">
      <c r="A13" s="5">
        <v>12.0</v>
      </c>
      <c r="B13" s="4">
        <v>45810.0</v>
      </c>
      <c r="C13" s="5" t="s">
        <v>23</v>
      </c>
      <c r="D13" s="5" t="s">
        <v>32</v>
      </c>
      <c r="E13" s="5" t="s">
        <v>146</v>
      </c>
      <c r="F13" s="5">
        <v>1.37</v>
      </c>
    </row>
    <row r="14">
      <c r="A14" s="5">
        <v>13.0</v>
      </c>
      <c r="B14" s="4">
        <v>45840.0</v>
      </c>
      <c r="C14" s="5" t="s">
        <v>23</v>
      </c>
      <c r="D14" s="5" t="s">
        <v>33</v>
      </c>
      <c r="E14" s="5" t="s">
        <v>145</v>
      </c>
      <c r="F14" s="5">
        <v>1.57</v>
      </c>
    </row>
    <row r="15">
      <c r="A15" s="5">
        <v>14.0</v>
      </c>
      <c r="B15" s="4">
        <v>45660.0</v>
      </c>
      <c r="C15" s="5" t="s">
        <v>36</v>
      </c>
      <c r="D15" s="5" t="s">
        <v>35</v>
      </c>
      <c r="E15" s="5" t="s">
        <v>147</v>
      </c>
      <c r="F15" s="5">
        <v>1.48</v>
      </c>
    </row>
    <row r="16">
      <c r="A16" s="5">
        <v>15.0</v>
      </c>
      <c r="B16" s="4">
        <v>45691.0</v>
      </c>
      <c r="C16" s="5" t="s">
        <v>36</v>
      </c>
      <c r="D16" s="5" t="s">
        <v>37</v>
      </c>
      <c r="E16" s="5" t="s">
        <v>148</v>
      </c>
      <c r="F16" s="5">
        <v>1.65</v>
      </c>
    </row>
    <row r="17">
      <c r="A17" s="5">
        <v>16.0</v>
      </c>
      <c r="B17" s="4">
        <v>45719.0</v>
      </c>
      <c r="C17" s="5" t="s">
        <v>36</v>
      </c>
      <c r="D17" s="5" t="s">
        <v>38</v>
      </c>
      <c r="E17" s="5" t="s">
        <v>148</v>
      </c>
      <c r="F17" s="5">
        <v>1.18</v>
      </c>
    </row>
    <row r="18">
      <c r="A18" s="5">
        <v>17.0</v>
      </c>
      <c r="B18" s="4">
        <v>45750.0</v>
      </c>
      <c r="C18" s="5" t="s">
        <v>36</v>
      </c>
      <c r="D18" s="5" t="s">
        <v>39</v>
      </c>
      <c r="E18" s="5" t="s">
        <v>148</v>
      </c>
      <c r="F18" s="5">
        <v>1.55</v>
      </c>
    </row>
    <row r="19">
      <c r="A19" s="5">
        <v>18.0</v>
      </c>
      <c r="B19" s="4">
        <v>45780.0</v>
      </c>
      <c r="C19" s="5" t="s">
        <v>36</v>
      </c>
      <c r="D19" s="5" t="s">
        <v>40</v>
      </c>
      <c r="E19" s="5" t="s">
        <v>148</v>
      </c>
      <c r="F19" s="5">
        <v>1.75</v>
      </c>
    </row>
    <row r="20">
      <c r="A20" s="5">
        <v>19.0</v>
      </c>
      <c r="B20" s="4">
        <v>45811.0</v>
      </c>
      <c r="C20" s="5" t="s">
        <v>36</v>
      </c>
      <c r="D20" s="5" t="s">
        <v>41</v>
      </c>
      <c r="E20" s="5" t="s">
        <v>148</v>
      </c>
      <c r="F20" s="5">
        <v>1.93</v>
      </c>
    </row>
    <row r="21">
      <c r="A21" s="5">
        <v>20.0</v>
      </c>
      <c r="B21" s="4">
        <v>45841.0</v>
      </c>
      <c r="C21" s="5" t="s">
        <v>36</v>
      </c>
      <c r="D21" s="5" t="s">
        <v>42</v>
      </c>
      <c r="E21" s="5" t="s">
        <v>148</v>
      </c>
      <c r="F21" s="5">
        <v>1.77</v>
      </c>
    </row>
    <row r="22">
      <c r="A22" s="5">
        <v>21.0</v>
      </c>
      <c r="B22" s="4">
        <v>45872.0</v>
      </c>
      <c r="C22" s="5" t="s">
        <v>36</v>
      </c>
      <c r="D22" s="5" t="s">
        <v>43</v>
      </c>
      <c r="E22" s="5" t="s">
        <v>147</v>
      </c>
      <c r="F22" s="5">
        <v>1.7</v>
      </c>
    </row>
    <row r="23">
      <c r="A23" s="5">
        <v>22.0</v>
      </c>
      <c r="B23" s="4">
        <v>45661.0</v>
      </c>
      <c r="C23" s="5" t="s">
        <v>44</v>
      </c>
      <c r="D23" s="5" t="s">
        <v>45</v>
      </c>
      <c r="E23" s="5" t="s">
        <v>149</v>
      </c>
      <c r="F23" s="5">
        <v>1.28</v>
      </c>
    </row>
    <row r="24">
      <c r="A24" s="5">
        <v>23.0</v>
      </c>
      <c r="B24" s="4">
        <v>45692.0</v>
      </c>
      <c r="C24" s="5" t="s">
        <v>44</v>
      </c>
      <c r="D24" s="5" t="s">
        <v>47</v>
      </c>
      <c r="E24" s="5" t="s">
        <v>150</v>
      </c>
      <c r="F24" s="5">
        <v>2.13</v>
      </c>
    </row>
    <row r="25">
      <c r="A25" s="5">
        <v>24.0</v>
      </c>
      <c r="B25" s="4">
        <v>45720.0</v>
      </c>
      <c r="C25" s="5" t="s">
        <v>44</v>
      </c>
      <c r="D25" s="5" t="s">
        <v>48</v>
      </c>
      <c r="E25" s="5" t="s">
        <v>149</v>
      </c>
      <c r="F25" s="5">
        <v>2.62</v>
      </c>
    </row>
    <row r="26">
      <c r="A26" s="5">
        <v>25.0</v>
      </c>
      <c r="B26" s="4">
        <v>45751.0</v>
      </c>
      <c r="C26" s="5" t="s">
        <v>44</v>
      </c>
      <c r="D26" s="5" t="s">
        <v>49</v>
      </c>
      <c r="E26" s="5" t="s">
        <v>151</v>
      </c>
      <c r="F26" s="5">
        <v>2.67</v>
      </c>
    </row>
    <row r="27">
      <c r="A27" s="5">
        <v>26.0</v>
      </c>
      <c r="B27" s="4">
        <v>45781.0</v>
      </c>
      <c r="C27" s="5" t="s">
        <v>44</v>
      </c>
      <c r="D27" s="5" t="s">
        <v>50</v>
      </c>
      <c r="E27" s="5" t="s">
        <v>152</v>
      </c>
      <c r="F27" s="5">
        <v>1.67</v>
      </c>
    </row>
    <row r="28">
      <c r="A28" s="5">
        <v>27.0</v>
      </c>
      <c r="B28" s="4">
        <v>45812.0</v>
      </c>
      <c r="C28" s="5" t="s">
        <v>44</v>
      </c>
      <c r="D28" s="5" t="s">
        <v>52</v>
      </c>
      <c r="E28" s="5" t="s">
        <v>153</v>
      </c>
      <c r="F28" s="5">
        <v>1.9</v>
      </c>
    </row>
    <row r="29">
      <c r="A29" s="5">
        <v>28.0</v>
      </c>
      <c r="B29" s="4">
        <v>45842.0</v>
      </c>
      <c r="C29" s="5" t="s">
        <v>44</v>
      </c>
      <c r="D29" s="5" t="s">
        <v>53</v>
      </c>
      <c r="E29" s="5" t="s">
        <v>152</v>
      </c>
      <c r="F29" s="5">
        <v>2.57</v>
      </c>
    </row>
    <row r="30">
      <c r="A30" s="5">
        <v>29.0</v>
      </c>
      <c r="B30" s="4">
        <v>45873.0</v>
      </c>
      <c r="C30" s="5" t="s">
        <v>44</v>
      </c>
      <c r="D30" s="5" t="s">
        <v>54</v>
      </c>
      <c r="E30" s="5" t="s">
        <v>154</v>
      </c>
      <c r="F30" s="5">
        <v>2.17</v>
      </c>
    </row>
    <row r="31">
      <c r="A31" s="5">
        <v>30.0</v>
      </c>
      <c r="B31" s="4">
        <v>45662.0</v>
      </c>
      <c r="C31" s="5" t="s">
        <v>55</v>
      </c>
      <c r="D31" s="5" t="s">
        <v>56</v>
      </c>
      <c r="E31" s="5" t="s">
        <v>155</v>
      </c>
      <c r="F31" s="5">
        <v>2.4</v>
      </c>
    </row>
    <row r="32">
      <c r="A32" s="5">
        <v>31.0</v>
      </c>
      <c r="B32" s="4">
        <v>45693.0</v>
      </c>
      <c r="C32" s="5" t="s">
        <v>55</v>
      </c>
      <c r="D32" s="5" t="s">
        <v>58</v>
      </c>
      <c r="E32" s="5" t="s">
        <v>155</v>
      </c>
      <c r="F32" s="5">
        <v>2.03</v>
      </c>
    </row>
    <row r="33">
      <c r="A33" s="5">
        <v>32.0</v>
      </c>
      <c r="B33" s="4">
        <v>45721.0</v>
      </c>
      <c r="C33" s="5" t="s">
        <v>55</v>
      </c>
      <c r="D33" s="5" t="s">
        <v>59</v>
      </c>
      <c r="E33" s="5" t="s">
        <v>155</v>
      </c>
      <c r="F33" s="5">
        <v>3.27</v>
      </c>
    </row>
    <row r="34">
      <c r="A34" s="5">
        <v>33.0</v>
      </c>
      <c r="B34" s="4">
        <v>45752.0</v>
      </c>
      <c r="C34" s="5" t="s">
        <v>55</v>
      </c>
      <c r="D34" s="5" t="s">
        <v>60</v>
      </c>
      <c r="E34" s="5" t="s">
        <v>155</v>
      </c>
      <c r="F34" s="5">
        <v>1.97</v>
      </c>
    </row>
    <row r="35">
      <c r="A35" s="5">
        <v>34.0</v>
      </c>
      <c r="B35" s="4">
        <v>45782.0</v>
      </c>
      <c r="C35" s="5" t="s">
        <v>55</v>
      </c>
      <c r="D35" s="5" t="s">
        <v>61</v>
      </c>
      <c r="E35" s="5" t="s">
        <v>155</v>
      </c>
      <c r="F35" s="5">
        <v>1.32</v>
      </c>
    </row>
    <row r="36">
      <c r="A36" s="5">
        <v>35.0</v>
      </c>
      <c r="B36" s="4">
        <v>45813.0</v>
      </c>
      <c r="C36" s="5" t="s">
        <v>55</v>
      </c>
      <c r="D36" s="5" t="s">
        <v>62</v>
      </c>
      <c r="E36" s="5" t="s">
        <v>155</v>
      </c>
      <c r="F36" s="5">
        <v>3.83</v>
      </c>
    </row>
    <row r="37">
      <c r="A37" s="5">
        <v>36.0</v>
      </c>
      <c r="B37" s="4">
        <v>45843.0</v>
      </c>
      <c r="C37" s="5" t="s">
        <v>55</v>
      </c>
      <c r="D37" s="5" t="s">
        <v>63</v>
      </c>
      <c r="E37" s="5" t="s">
        <v>155</v>
      </c>
      <c r="F37" s="5">
        <v>2.0</v>
      </c>
    </row>
    <row r="38">
      <c r="A38" s="5">
        <v>37.0</v>
      </c>
      <c r="B38" s="4">
        <v>45874.0</v>
      </c>
      <c r="C38" s="5" t="s">
        <v>55</v>
      </c>
      <c r="D38" s="5" t="s">
        <v>64</v>
      </c>
      <c r="E38" s="5" t="s">
        <v>155</v>
      </c>
      <c r="F38" s="5">
        <v>3.77</v>
      </c>
    </row>
    <row r="39">
      <c r="A39" s="5">
        <v>38.0</v>
      </c>
      <c r="B39" s="4">
        <v>45905.0</v>
      </c>
      <c r="C39" s="5" t="s">
        <v>55</v>
      </c>
      <c r="D39" s="5" t="s">
        <v>65</v>
      </c>
      <c r="E39" s="5" t="s">
        <v>155</v>
      </c>
      <c r="F39" s="5">
        <v>3.22</v>
      </c>
    </row>
    <row r="40">
      <c r="A40" s="5">
        <v>39.0</v>
      </c>
      <c r="B40" s="4">
        <v>45935.0</v>
      </c>
      <c r="C40" s="5" t="s">
        <v>55</v>
      </c>
      <c r="D40" s="5" t="s">
        <v>66</v>
      </c>
      <c r="E40" s="5" t="s">
        <v>156</v>
      </c>
      <c r="F40" s="5">
        <v>2.82</v>
      </c>
    </row>
    <row r="41">
      <c r="A41" s="5">
        <v>40.0</v>
      </c>
      <c r="B41" s="4">
        <v>45663.0</v>
      </c>
      <c r="C41" s="5" t="s">
        <v>67</v>
      </c>
      <c r="D41" s="5" t="s">
        <v>68</v>
      </c>
      <c r="E41" s="5" t="s">
        <v>157</v>
      </c>
      <c r="F41" s="5">
        <v>1.75</v>
      </c>
    </row>
    <row r="42">
      <c r="A42" s="5">
        <v>41.0</v>
      </c>
      <c r="B42" s="4">
        <v>45694.0</v>
      </c>
      <c r="C42" s="5" t="s">
        <v>67</v>
      </c>
      <c r="D42" s="5" t="s">
        <v>70</v>
      </c>
      <c r="E42" s="5" t="s">
        <v>157</v>
      </c>
      <c r="F42" s="5">
        <v>1.47</v>
      </c>
    </row>
    <row r="43">
      <c r="A43" s="5">
        <v>42.0</v>
      </c>
      <c r="B43" s="4">
        <v>45722.0</v>
      </c>
      <c r="C43" s="5" t="s">
        <v>67</v>
      </c>
      <c r="D43" s="5" t="s">
        <v>71</v>
      </c>
      <c r="E43" s="5" t="s">
        <v>157</v>
      </c>
      <c r="F43" s="5">
        <v>2.4</v>
      </c>
    </row>
    <row r="44">
      <c r="A44" s="5">
        <v>43.0</v>
      </c>
      <c r="B44" s="4">
        <v>45753.0</v>
      </c>
      <c r="C44" s="5" t="s">
        <v>67</v>
      </c>
      <c r="D44" s="5" t="s">
        <v>72</v>
      </c>
      <c r="E44" s="5" t="s">
        <v>157</v>
      </c>
      <c r="F44" s="5">
        <v>2.52</v>
      </c>
    </row>
    <row r="45">
      <c r="A45" s="5">
        <v>44.0</v>
      </c>
      <c r="B45" s="4">
        <v>45783.0</v>
      </c>
      <c r="C45" s="5" t="s">
        <v>67</v>
      </c>
      <c r="D45" s="5" t="s">
        <v>73</v>
      </c>
      <c r="E45" s="5" t="s">
        <v>157</v>
      </c>
      <c r="F45" s="5">
        <v>1.98</v>
      </c>
    </row>
    <row r="46">
      <c r="A46" s="5">
        <v>45.0</v>
      </c>
      <c r="B46" s="4">
        <v>45814.0</v>
      </c>
      <c r="C46" s="5" t="s">
        <v>67</v>
      </c>
      <c r="D46" s="5" t="s">
        <v>74</v>
      </c>
      <c r="E46" s="5" t="s">
        <v>157</v>
      </c>
      <c r="F46" s="5">
        <v>2.17</v>
      </c>
    </row>
    <row r="47">
      <c r="A47" s="5">
        <v>46.0</v>
      </c>
      <c r="B47" s="4">
        <v>45844.0</v>
      </c>
      <c r="C47" s="5" t="s">
        <v>67</v>
      </c>
      <c r="D47" s="5" t="s">
        <v>75</v>
      </c>
      <c r="E47" s="5" t="s">
        <v>157</v>
      </c>
      <c r="F47" s="5">
        <v>1.8</v>
      </c>
    </row>
    <row r="48">
      <c r="A48" s="5">
        <v>47.0</v>
      </c>
      <c r="B48" s="4">
        <v>45875.0</v>
      </c>
      <c r="C48" s="5" t="s">
        <v>67</v>
      </c>
      <c r="D48" s="5" t="s">
        <v>76</v>
      </c>
      <c r="E48" s="5" t="s">
        <v>157</v>
      </c>
      <c r="F48" s="5">
        <v>1.98</v>
      </c>
    </row>
    <row r="49">
      <c r="A49" s="5">
        <v>48.0</v>
      </c>
      <c r="B49" s="4">
        <v>45906.0</v>
      </c>
      <c r="C49" s="5" t="s">
        <v>67</v>
      </c>
      <c r="D49" s="5" t="s">
        <v>77</v>
      </c>
      <c r="E49" s="5" t="s">
        <v>157</v>
      </c>
      <c r="F49" s="5">
        <v>2.08</v>
      </c>
    </row>
    <row r="50">
      <c r="A50" s="5">
        <v>49.0</v>
      </c>
      <c r="B50" s="4">
        <v>45936.0</v>
      </c>
      <c r="C50" s="5" t="s">
        <v>67</v>
      </c>
      <c r="D50" s="5" t="s">
        <v>78</v>
      </c>
      <c r="E50" s="5" t="s">
        <v>157</v>
      </c>
      <c r="F50" s="5">
        <v>1.68</v>
      </c>
    </row>
    <row r="51">
      <c r="A51" s="5">
        <v>50.0</v>
      </c>
      <c r="B51" s="4">
        <v>45967.0</v>
      </c>
      <c r="C51" s="5" t="s">
        <v>67</v>
      </c>
      <c r="D51" s="5" t="s">
        <v>79</v>
      </c>
      <c r="E51" s="5" t="s">
        <v>157</v>
      </c>
      <c r="F51" s="5">
        <v>1.57</v>
      </c>
    </row>
    <row r="52">
      <c r="A52" s="5">
        <v>51.0</v>
      </c>
      <c r="B52" s="4">
        <v>45664.0</v>
      </c>
      <c r="C52" s="5" t="s">
        <v>80</v>
      </c>
      <c r="D52" s="5" t="s">
        <v>81</v>
      </c>
      <c r="E52" s="5" t="s">
        <v>158</v>
      </c>
      <c r="F52" s="5">
        <v>1.28</v>
      </c>
    </row>
    <row r="53">
      <c r="A53" s="5">
        <v>52.0</v>
      </c>
      <c r="B53" s="4">
        <v>45695.0</v>
      </c>
      <c r="C53" s="5" t="s">
        <v>80</v>
      </c>
      <c r="D53" s="5" t="s">
        <v>83</v>
      </c>
      <c r="E53" s="5" t="s">
        <v>158</v>
      </c>
      <c r="F53" s="5">
        <v>1.5</v>
      </c>
    </row>
    <row r="54">
      <c r="A54" s="5">
        <v>53.0</v>
      </c>
      <c r="B54" s="4">
        <v>45723.0</v>
      </c>
      <c r="C54" s="5" t="s">
        <v>80</v>
      </c>
      <c r="D54" s="5" t="s">
        <v>84</v>
      </c>
      <c r="E54" s="5" t="s">
        <v>158</v>
      </c>
      <c r="F54" s="5">
        <v>1.15</v>
      </c>
    </row>
    <row r="55">
      <c r="A55" s="5">
        <v>54.0</v>
      </c>
      <c r="B55" s="4">
        <v>45754.0</v>
      </c>
      <c r="C55" s="5" t="s">
        <v>80</v>
      </c>
      <c r="D55" s="5" t="s">
        <v>85</v>
      </c>
      <c r="E55" s="5" t="s">
        <v>158</v>
      </c>
      <c r="F55" s="5">
        <v>1.95</v>
      </c>
    </row>
    <row r="56">
      <c r="A56" s="5">
        <v>55.0</v>
      </c>
      <c r="B56" s="4">
        <v>45784.0</v>
      </c>
      <c r="C56" s="5" t="s">
        <v>80</v>
      </c>
      <c r="D56" s="5" t="s">
        <v>86</v>
      </c>
      <c r="E56" s="5" t="s">
        <v>158</v>
      </c>
      <c r="F56" s="5">
        <v>1.28</v>
      </c>
    </row>
    <row r="57">
      <c r="A57" s="5">
        <v>56.0</v>
      </c>
      <c r="B57" s="4">
        <v>45815.0</v>
      </c>
      <c r="C57" s="5" t="s">
        <v>80</v>
      </c>
      <c r="D57" s="5" t="s">
        <v>87</v>
      </c>
      <c r="E57" s="5" t="s">
        <v>158</v>
      </c>
      <c r="F57" s="5">
        <v>1.57</v>
      </c>
    </row>
    <row r="58">
      <c r="A58" s="5">
        <v>57.0</v>
      </c>
      <c r="B58" s="4">
        <v>45845.0</v>
      </c>
      <c r="C58" s="5" t="s">
        <v>80</v>
      </c>
      <c r="D58" s="5" t="s">
        <v>88</v>
      </c>
      <c r="E58" s="5" t="s">
        <v>158</v>
      </c>
      <c r="F58" s="5">
        <v>1.28</v>
      </c>
    </row>
    <row r="59">
      <c r="A59" s="5">
        <v>58.0</v>
      </c>
      <c r="B59" s="4">
        <v>45876.0</v>
      </c>
      <c r="C59" s="5" t="s">
        <v>80</v>
      </c>
      <c r="D59" s="5" t="s">
        <v>89</v>
      </c>
      <c r="E59" s="5" t="s">
        <v>158</v>
      </c>
      <c r="F59" s="5">
        <v>1.7</v>
      </c>
    </row>
    <row r="60">
      <c r="A60" s="5">
        <v>59.0</v>
      </c>
      <c r="B60" s="4">
        <v>45907.0</v>
      </c>
      <c r="C60" s="5" t="s">
        <v>80</v>
      </c>
      <c r="D60" s="5" t="s">
        <v>90</v>
      </c>
      <c r="E60" s="5" t="s">
        <v>158</v>
      </c>
      <c r="F60" s="5">
        <v>1.88</v>
      </c>
    </row>
    <row r="61">
      <c r="A61" s="5">
        <v>60.0</v>
      </c>
      <c r="B61" s="4">
        <v>45937.0</v>
      </c>
      <c r="C61" s="5" t="s">
        <v>80</v>
      </c>
      <c r="D61" s="5" t="s">
        <v>91</v>
      </c>
      <c r="E61" s="5" t="s">
        <v>158</v>
      </c>
      <c r="F61" s="5">
        <v>1.18</v>
      </c>
    </row>
    <row r="62">
      <c r="A62" s="5">
        <v>61.0</v>
      </c>
      <c r="B62" s="4">
        <v>45968.0</v>
      </c>
      <c r="C62" s="5" t="s">
        <v>80</v>
      </c>
      <c r="D62" s="5" t="s">
        <v>92</v>
      </c>
      <c r="E62" s="5" t="s">
        <v>158</v>
      </c>
      <c r="F62" s="5">
        <v>1.63</v>
      </c>
    </row>
    <row r="63">
      <c r="A63" s="5">
        <v>62.0</v>
      </c>
      <c r="B63" s="4">
        <v>45665.0</v>
      </c>
      <c r="C63" s="5" t="s">
        <v>93</v>
      </c>
      <c r="D63" s="5" t="s">
        <v>94</v>
      </c>
      <c r="E63" s="5" t="s">
        <v>159</v>
      </c>
      <c r="F63" s="5">
        <v>1.63</v>
      </c>
    </row>
    <row r="64">
      <c r="A64" s="5">
        <v>63.0</v>
      </c>
      <c r="B64" s="4">
        <v>45696.0</v>
      </c>
      <c r="C64" s="5" t="s">
        <v>93</v>
      </c>
      <c r="D64" s="5" t="s">
        <v>96</v>
      </c>
      <c r="E64" s="5" t="s">
        <v>160</v>
      </c>
      <c r="F64" s="5">
        <v>2.35</v>
      </c>
    </row>
    <row r="65">
      <c r="A65" s="5">
        <v>64.0</v>
      </c>
      <c r="B65" s="4">
        <v>45724.0</v>
      </c>
      <c r="C65" s="5" t="s">
        <v>93</v>
      </c>
      <c r="D65" s="5" t="s">
        <v>97</v>
      </c>
      <c r="E65" s="5" t="s">
        <v>160</v>
      </c>
      <c r="F65" s="5">
        <v>2.68</v>
      </c>
    </row>
    <row r="66">
      <c r="A66" s="5">
        <v>65.0</v>
      </c>
      <c r="B66" s="4">
        <v>45755.0</v>
      </c>
      <c r="C66" s="5" t="s">
        <v>93</v>
      </c>
      <c r="D66" s="5" t="s">
        <v>98</v>
      </c>
      <c r="E66" s="5" t="s">
        <v>161</v>
      </c>
      <c r="F66" s="5">
        <v>2.58</v>
      </c>
    </row>
    <row r="67">
      <c r="A67" s="5">
        <v>66.0</v>
      </c>
      <c r="B67" s="4">
        <v>45785.0</v>
      </c>
      <c r="C67" s="5" t="s">
        <v>93</v>
      </c>
      <c r="D67" s="5" t="s">
        <v>99</v>
      </c>
      <c r="E67" s="5" t="s">
        <v>162</v>
      </c>
      <c r="F67" s="5">
        <v>3.13</v>
      </c>
    </row>
    <row r="68">
      <c r="A68" s="5">
        <v>67.0</v>
      </c>
      <c r="B68" s="4">
        <v>45816.0</v>
      </c>
      <c r="C68" s="5" t="s">
        <v>93</v>
      </c>
      <c r="D68" s="5" t="s">
        <v>100</v>
      </c>
      <c r="E68" s="5" t="s">
        <v>154</v>
      </c>
      <c r="F68" s="5">
        <v>1.75</v>
      </c>
    </row>
    <row r="69">
      <c r="A69" s="5">
        <v>68.0</v>
      </c>
      <c r="B69" s="4">
        <v>45846.0</v>
      </c>
      <c r="C69" s="5" t="s">
        <v>93</v>
      </c>
      <c r="D69" s="5" t="s">
        <v>101</v>
      </c>
      <c r="E69" s="5" t="s">
        <v>163</v>
      </c>
      <c r="F69" s="5">
        <v>1.75</v>
      </c>
    </row>
    <row r="70">
      <c r="A70" s="5">
        <v>69.0</v>
      </c>
      <c r="B70" s="4">
        <v>45877.0</v>
      </c>
      <c r="C70" s="5" t="s">
        <v>93</v>
      </c>
      <c r="D70" s="5" t="s">
        <v>103</v>
      </c>
      <c r="E70" s="5" t="s">
        <v>164</v>
      </c>
      <c r="F70" s="5">
        <v>1.37</v>
      </c>
    </row>
    <row r="71">
      <c r="A71" s="5">
        <v>70.0</v>
      </c>
      <c r="B71" s="4">
        <v>45908.0</v>
      </c>
      <c r="C71" s="5" t="s">
        <v>93</v>
      </c>
      <c r="D71" s="5" t="s">
        <v>104</v>
      </c>
      <c r="E71" s="5" t="s">
        <v>145</v>
      </c>
      <c r="F71" s="5">
        <v>1.38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>
      <c r="J2" s="18" t="s">
        <v>165</v>
      </c>
    </row>
    <row r="3"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>
      <c r="A4" s="19" t="s">
        <v>166</v>
      </c>
      <c r="L4" s="20">
        <v>45994.0</v>
      </c>
    </row>
    <row r="5">
      <c r="A5" s="21" t="s">
        <v>167</v>
      </c>
      <c r="B5" s="21" t="s">
        <v>168</v>
      </c>
      <c r="C5" s="21" t="s">
        <v>169</v>
      </c>
      <c r="D5" s="21" t="s">
        <v>170</v>
      </c>
      <c r="E5" s="21" t="s">
        <v>171</v>
      </c>
      <c r="F5" s="21" t="s">
        <v>172</v>
      </c>
      <c r="G5" s="21" t="s">
        <v>173</v>
      </c>
      <c r="H5" s="21" t="s">
        <v>174</v>
      </c>
      <c r="I5" s="21" t="s">
        <v>175</v>
      </c>
      <c r="J5" s="21" t="s">
        <v>176</v>
      </c>
      <c r="K5" s="21" t="s">
        <v>177</v>
      </c>
      <c r="L5" s="21" t="s">
        <v>178</v>
      </c>
      <c r="M5" s="21" t="s">
        <v>179</v>
      </c>
      <c r="N5" s="21" t="s">
        <v>180</v>
      </c>
      <c r="O5" s="21" t="s">
        <v>181</v>
      </c>
      <c r="P5" s="21" t="s">
        <v>182</v>
      </c>
      <c r="Q5" s="21" t="s">
        <v>183</v>
      </c>
      <c r="R5" s="21" t="s">
        <v>184</v>
      </c>
      <c r="S5" s="21" t="s">
        <v>185</v>
      </c>
      <c r="T5" s="21" t="s">
        <v>186</v>
      </c>
      <c r="U5" s="21" t="s">
        <v>187</v>
      </c>
      <c r="V5" s="21" t="s">
        <v>188</v>
      </c>
    </row>
    <row r="6">
      <c r="A6" s="22"/>
      <c r="B6" s="23">
        <v>1.0</v>
      </c>
      <c r="C6" s="23" t="s">
        <v>11</v>
      </c>
      <c r="D6" s="23" t="s">
        <v>189</v>
      </c>
      <c r="E6" s="24">
        <v>45995.0</v>
      </c>
      <c r="F6" s="24">
        <v>45996.0</v>
      </c>
      <c r="G6" s="25"/>
      <c r="H6" s="26">
        <v>0.0</v>
      </c>
      <c r="I6" s="26">
        <v>12.25</v>
      </c>
      <c r="J6" s="26">
        <v>12.25</v>
      </c>
      <c r="K6" s="26">
        <v>0.0</v>
      </c>
      <c r="L6" s="23" t="s">
        <v>190</v>
      </c>
      <c r="M6" s="23" t="s">
        <v>191</v>
      </c>
      <c r="N6" s="23" t="s">
        <v>10</v>
      </c>
      <c r="O6" s="25"/>
      <c r="P6" s="26">
        <v>0.0</v>
      </c>
      <c r="Q6" s="26">
        <v>0.0</v>
      </c>
      <c r="R6" s="24">
        <v>45994.0</v>
      </c>
      <c r="S6" s="23" t="s">
        <v>192</v>
      </c>
      <c r="T6" s="23" t="s">
        <v>193</v>
      </c>
      <c r="U6" s="23" t="s">
        <v>166</v>
      </c>
      <c r="V6" s="26">
        <v>1.0</v>
      </c>
    </row>
    <row r="7">
      <c r="A7" s="22"/>
      <c r="B7" s="23">
        <v>2.0</v>
      </c>
      <c r="C7" s="23" t="s">
        <v>14</v>
      </c>
      <c r="D7" s="23" t="s">
        <v>189</v>
      </c>
      <c r="E7" s="24">
        <v>45996.0</v>
      </c>
      <c r="F7" s="24">
        <v>46000.0</v>
      </c>
      <c r="G7" s="25"/>
      <c r="H7" s="26">
        <v>0.0</v>
      </c>
      <c r="I7" s="26">
        <v>10.97</v>
      </c>
      <c r="J7" s="26">
        <v>10.97</v>
      </c>
      <c r="K7" s="26">
        <v>0.0</v>
      </c>
      <c r="L7" s="23" t="s">
        <v>190</v>
      </c>
      <c r="M7" s="23" t="s">
        <v>191</v>
      </c>
      <c r="N7" s="23" t="s">
        <v>10</v>
      </c>
      <c r="O7" s="23">
        <v>1.0</v>
      </c>
      <c r="P7" s="26">
        <v>0.0</v>
      </c>
      <c r="Q7" s="26">
        <v>0.0</v>
      </c>
      <c r="R7" s="24">
        <v>45994.0</v>
      </c>
      <c r="S7" s="23" t="s">
        <v>192</v>
      </c>
      <c r="T7" s="23" t="s">
        <v>193</v>
      </c>
      <c r="U7" s="23" t="s">
        <v>166</v>
      </c>
      <c r="V7" s="26">
        <v>1.0</v>
      </c>
    </row>
    <row r="8">
      <c r="A8" s="22"/>
      <c r="B8" s="23">
        <v>3.0</v>
      </c>
      <c r="C8" s="23" t="s">
        <v>16</v>
      </c>
      <c r="D8" s="23" t="s">
        <v>189</v>
      </c>
      <c r="E8" s="24">
        <v>46000.0</v>
      </c>
      <c r="F8" s="27">
        <v>46002.0</v>
      </c>
      <c r="G8" s="25"/>
      <c r="H8" s="26">
        <v>0.0</v>
      </c>
      <c r="I8" s="26">
        <v>15.6</v>
      </c>
      <c r="J8" s="26">
        <v>15.6</v>
      </c>
      <c r="K8" s="26">
        <v>0.0</v>
      </c>
      <c r="L8" s="23" t="s">
        <v>190</v>
      </c>
      <c r="M8" s="23" t="s">
        <v>191</v>
      </c>
      <c r="N8" s="23" t="s">
        <v>10</v>
      </c>
      <c r="O8" s="23">
        <v>2.0</v>
      </c>
      <c r="P8" s="26">
        <v>0.0</v>
      </c>
      <c r="Q8" s="26">
        <v>0.0</v>
      </c>
      <c r="R8" s="24">
        <v>45994.0</v>
      </c>
      <c r="S8" s="23" t="s">
        <v>192</v>
      </c>
      <c r="T8" s="23" t="s">
        <v>193</v>
      </c>
      <c r="U8" s="23" t="s">
        <v>166</v>
      </c>
      <c r="V8" s="26">
        <v>1.0</v>
      </c>
    </row>
    <row r="9">
      <c r="A9" s="22"/>
      <c r="B9" s="23">
        <v>4.0</v>
      </c>
      <c r="C9" s="23" t="s">
        <v>18</v>
      </c>
      <c r="D9" s="23" t="s">
        <v>189</v>
      </c>
      <c r="E9" s="27">
        <v>46002.0</v>
      </c>
      <c r="F9" s="27">
        <v>46003.0</v>
      </c>
      <c r="G9" s="25"/>
      <c r="H9" s="26">
        <v>0.0</v>
      </c>
      <c r="I9" s="26">
        <v>9.2</v>
      </c>
      <c r="J9" s="26">
        <v>9.2</v>
      </c>
      <c r="K9" s="26">
        <v>0.0</v>
      </c>
      <c r="L9" s="23" t="s">
        <v>190</v>
      </c>
      <c r="M9" s="23" t="s">
        <v>191</v>
      </c>
      <c r="N9" s="23" t="s">
        <v>10</v>
      </c>
      <c r="O9" s="23">
        <v>3.0</v>
      </c>
      <c r="P9" s="26">
        <v>0.0</v>
      </c>
      <c r="Q9" s="26">
        <v>0.0</v>
      </c>
      <c r="R9" s="24">
        <v>45994.0</v>
      </c>
      <c r="S9" s="23" t="s">
        <v>192</v>
      </c>
      <c r="T9" s="23" t="s">
        <v>193</v>
      </c>
      <c r="U9" s="23" t="s">
        <v>166</v>
      </c>
      <c r="V9" s="26">
        <v>1.0</v>
      </c>
    </row>
    <row r="10">
      <c r="A10" s="22"/>
      <c r="B10" s="23">
        <v>5.0</v>
      </c>
      <c r="C10" s="23" t="s">
        <v>20</v>
      </c>
      <c r="D10" s="23" t="s">
        <v>189</v>
      </c>
      <c r="E10" s="27">
        <v>46003.0</v>
      </c>
      <c r="F10" s="27">
        <v>46007.0</v>
      </c>
      <c r="G10" s="25"/>
      <c r="H10" s="26">
        <v>0.0</v>
      </c>
      <c r="I10" s="26">
        <v>14.17</v>
      </c>
      <c r="J10" s="26">
        <v>14.17</v>
      </c>
      <c r="K10" s="26">
        <v>0.0</v>
      </c>
      <c r="L10" s="23" t="s">
        <v>190</v>
      </c>
      <c r="M10" s="23" t="s">
        <v>191</v>
      </c>
      <c r="N10" s="23" t="s">
        <v>10</v>
      </c>
      <c r="O10" s="23">
        <v>4.0</v>
      </c>
      <c r="P10" s="26">
        <v>0.0</v>
      </c>
      <c r="Q10" s="26">
        <v>0.0</v>
      </c>
      <c r="R10" s="24">
        <v>45994.0</v>
      </c>
      <c r="S10" s="23" t="s">
        <v>192</v>
      </c>
      <c r="T10" s="23" t="s">
        <v>193</v>
      </c>
      <c r="U10" s="23" t="s">
        <v>166</v>
      </c>
      <c r="V10" s="26">
        <v>1.0</v>
      </c>
    </row>
    <row r="11">
      <c r="A11" s="22"/>
      <c r="B11" s="23">
        <v>6.0</v>
      </c>
      <c r="C11" s="23" t="s">
        <v>21</v>
      </c>
      <c r="D11" s="23" t="s">
        <v>189</v>
      </c>
      <c r="E11" s="27">
        <v>46007.0</v>
      </c>
      <c r="F11" s="27">
        <v>46009.0</v>
      </c>
      <c r="G11" s="25"/>
      <c r="H11" s="26">
        <v>0.0</v>
      </c>
      <c r="I11" s="26">
        <v>15.85</v>
      </c>
      <c r="J11" s="26">
        <v>15.85</v>
      </c>
      <c r="K11" s="26">
        <v>0.0</v>
      </c>
      <c r="L11" s="23" t="s">
        <v>190</v>
      </c>
      <c r="M11" s="23" t="s">
        <v>191</v>
      </c>
      <c r="N11" s="23" t="s">
        <v>10</v>
      </c>
      <c r="O11" s="23">
        <v>5.0</v>
      </c>
      <c r="P11" s="26">
        <v>0.0</v>
      </c>
      <c r="Q11" s="26">
        <v>0.0</v>
      </c>
      <c r="R11" s="24">
        <v>45994.0</v>
      </c>
      <c r="S11" s="23" t="s">
        <v>192</v>
      </c>
      <c r="T11" s="23" t="s">
        <v>193</v>
      </c>
      <c r="U11" s="23" t="s">
        <v>166</v>
      </c>
      <c r="V11" s="26">
        <v>1.0</v>
      </c>
    </row>
    <row r="12">
      <c r="A12" s="22"/>
      <c r="B12" s="23">
        <v>7.0</v>
      </c>
      <c r="C12" s="23" t="s">
        <v>24</v>
      </c>
      <c r="D12" s="23" t="s">
        <v>194</v>
      </c>
      <c r="E12" s="27">
        <v>46009.0</v>
      </c>
      <c r="F12" s="27">
        <v>46013.0</v>
      </c>
      <c r="G12" s="25"/>
      <c r="H12" s="26">
        <v>0.0</v>
      </c>
      <c r="I12" s="26">
        <v>16.97</v>
      </c>
      <c r="J12" s="26">
        <v>16.97</v>
      </c>
      <c r="K12" s="26">
        <v>0.0</v>
      </c>
      <c r="L12" s="23" t="s">
        <v>190</v>
      </c>
      <c r="M12" s="23" t="s">
        <v>191</v>
      </c>
      <c r="N12" s="23" t="s">
        <v>23</v>
      </c>
      <c r="O12" s="23">
        <v>6.0</v>
      </c>
      <c r="P12" s="26">
        <v>0.0</v>
      </c>
      <c r="Q12" s="26">
        <v>0.0</v>
      </c>
      <c r="R12" s="24">
        <v>45994.0</v>
      </c>
      <c r="S12" s="23" t="s">
        <v>192</v>
      </c>
      <c r="T12" s="23" t="s">
        <v>193</v>
      </c>
      <c r="U12" s="23" t="s">
        <v>166</v>
      </c>
      <c r="V12" s="26">
        <v>1.0</v>
      </c>
    </row>
    <row r="13">
      <c r="A13" s="22"/>
      <c r="B13" s="23">
        <v>8.0</v>
      </c>
      <c r="C13" s="23" t="s">
        <v>27</v>
      </c>
      <c r="D13" s="23" t="s">
        <v>194</v>
      </c>
      <c r="E13" s="27">
        <v>46013.0</v>
      </c>
      <c r="F13" s="27">
        <v>46015.0</v>
      </c>
      <c r="G13" s="25"/>
      <c r="H13" s="26">
        <v>0.0</v>
      </c>
      <c r="I13" s="26">
        <v>16.25</v>
      </c>
      <c r="J13" s="26">
        <v>16.25</v>
      </c>
      <c r="K13" s="26">
        <v>0.0</v>
      </c>
      <c r="L13" s="23" t="s">
        <v>190</v>
      </c>
      <c r="M13" s="23" t="s">
        <v>191</v>
      </c>
      <c r="N13" s="23" t="s">
        <v>23</v>
      </c>
      <c r="O13" s="23">
        <v>7.0</v>
      </c>
      <c r="P13" s="26">
        <v>0.0</v>
      </c>
      <c r="Q13" s="26">
        <v>0.0</v>
      </c>
      <c r="R13" s="24">
        <v>45994.0</v>
      </c>
      <c r="S13" s="23" t="s">
        <v>192</v>
      </c>
      <c r="T13" s="23" t="s">
        <v>193</v>
      </c>
      <c r="U13" s="23" t="s">
        <v>166</v>
      </c>
      <c r="V13" s="26">
        <v>1.0</v>
      </c>
    </row>
    <row r="14">
      <c r="A14" s="22"/>
      <c r="B14" s="23">
        <v>9.0</v>
      </c>
      <c r="C14" s="23" t="s">
        <v>28</v>
      </c>
      <c r="D14" s="23" t="s">
        <v>194</v>
      </c>
      <c r="E14" s="27">
        <v>46013.0</v>
      </c>
      <c r="F14" s="27">
        <v>46014.0</v>
      </c>
      <c r="G14" s="25"/>
      <c r="H14" s="26">
        <v>0.0</v>
      </c>
      <c r="I14" s="26">
        <v>14.0</v>
      </c>
      <c r="J14" s="26">
        <v>14.0</v>
      </c>
      <c r="K14" s="26">
        <v>0.0</v>
      </c>
      <c r="L14" s="23" t="s">
        <v>190</v>
      </c>
      <c r="M14" s="23" t="s">
        <v>191</v>
      </c>
      <c r="N14" s="23" t="s">
        <v>23</v>
      </c>
      <c r="O14" s="23">
        <v>7.0</v>
      </c>
      <c r="P14" s="26">
        <v>0.0</v>
      </c>
      <c r="Q14" s="26">
        <v>0.0</v>
      </c>
      <c r="R14" s="24">
        <v>45994.0</v>
      </c>
      <c r="S14" s="23" t="s">
        <v>192</v>
      </c>
      <c r="T14" s="23" t="s">
        <v>193</v>
      </c>
      <c r="U14" s="23" t="s">
        <v>166</v>
      </c>
      <c r="V14" s="26">
        <v>1.0</v>
      </c>
    </row>
    <row r="15">
      <c r="A15" s="22"/>
      <c r="B15" s="23">
        <v>10.0</v>
      </c>
      <c r="C15" s="23" t="s">
        <v>30</v>
      </c>
      <c r="D15" s="23" t="s">
        <v>194</v>
      </c>
      <c r="E15" s="27">
        <v>46013.0</v>
      </c>
      <c r="F15" s="27">
        <v>46014.0</v>
      </c>
      <c r="G15" s="25"/>
      <c r="H15" s="26">
        <v>0.0</v>
      </c>
      <c r="I15" s="26">
        <v>7.77</v>
      </c>
      <c r="J15" s="26">
        <v>7.77</v>
      </c>
      <c r="K15" s="26">
        <v>0.0</v>
      </c>
      <c r="L15" s="23" t="s">
        <v>190</v>
      </c>
      <c r="M15" s="23" t="s">
        <v>191</v>
      </c>
      <c r="N15" s="23" t="s">
        <v>23</v>
      </c>
      <c r="O15" s="23">
        <v>7.0</v>
      </c>
      <c r="P15" s="26">
        <v>0.0</v>
      </c>
      <c r="Q15" s="26">
        <v>0.0</v>
      </c>
      <c r="R15" s="24">
        <v>45994.0</v>
      </c>
      <c r="S15" s="23" t="s">
        <v>192</v>
      </c>
      <c r="T15" s="23" t="s">
        <v>193</v>
      </c>
      <c r="U15" s="23" t="s">
        <v>166</v>
      </c>
      <c r="V15" s="26">
        <v>1.0</v>
      </c>
    </row>
    <row r="16">
      <c r="A16" s="22"/>
      <c r="B16" s="23">
        <v>11.0</v>
      </c>
      <c r="C16" s="23" t="s">
        <v>31</v>
      </c>
      <c r="D16" s="23" t="s">
        <v>194</v>
      </c>
      <c r="E16" s="27">
        <v>46013.0</v>
      </c>
      <c r="F16" s="27">
        <v>46015.0</v>
      </c>
      <c r="G16" s="25"/>
      <c r="H16" s="26">
        <v>0.0</v>
      </c>
      <c r="I16" s="26">
        <v>17.45</v>
      </c>
      <c r="J16" s="26">
        <v>17.45</v>
      </c>
      <c r="K16" s="26">
        <v>0.0</v>
      </c>
      <c r="L16" s="23" t="s">
        <v>190</v>
      </c>
      <c r="M16" s="23" t="s">
        <v>191</v>
      </c>
      <c r="N16" s="23" t="s">
        <v>23</v>
      </c>
      <c r="O16" s="23">
        <v>7.0</v>
      </c>
      <c r="P16" s="26">
        <v>0.0</v>
      </c>
      <c r="Q16" s="26">
        <v>0.0</v>
      </c>
      <c r="R16" s="24">
        <v>45994.0</v>
      </c>
      <c r="S16" s="23" t="s">
        <v>192</v>
      </c>
      <c r="T16" s="23" t="s">
        <v>193</v>
      </c>
      <c r="U16" s="23" t="s">
        <v>166</v>
      </c>
      <c r="V16" s="26">
        <v>1.0</v>
      </c>
    </row>
    <row r="17">
      <c r="A17" s="22"/>
      <c r="B17" s="23">
        <v>12.0</v>
      </c>
      <c r="C17" s="23" t="s">
        <v>32</v>
      </c>
      <c r="D17" s="23" t="s">
        <v>194</v>
      </c>
      <c r="E17" s="27">
        <v>46013.0</v>
      </c>
      <c r="F17" s="27">
        <v>46014.0</v>
      </c>
      <c r="G17" s="25"/>
      <c r="H17" s="26">
        <v>0.0</v>
      </c>
      <c r="I17" s="26">
        <v>10.97</v>
      </c>
      <c r="J17" s="26">
        <v>10.97</v>
      </c>
      <c r="K17" s="26">
        <v>0.0</v>
      </c>
      <c r="L17" s="23" t="s">
        <v>190</v>
      </c>
      <c r="M17" s="23" t="s">
        <v>191</v>
      </c>
      <c r="N17" s="23" t="s">
        <v>23</v>
      </c>
      <c r="O17" s="23">
        <v>7.0</v>
      </c>
      <c r="P17" s="26">
        <v>0.0</v>
      </c>
      <c r="Q17" s="26">
        <v>0.0</v>
      </c>
      <c r="R17" s="24">
        <v>45994.0</v>
      </c>
      <c r="S17" s="23" t="s">
        <v>192</v>
      </c>
      <c r="T17" s="23" t="s">
        <v>193</v>
      </c>
      <c r="U17" s="23" t="s">
        <v>166</v>
      </c>
      <c r="V17" s="26">
        <v>1.0</v>
      </c>
    </row>
    <row r="18">
      <c r="A18" s="22"/>
      <c r="B18" s="23">
        <v>13.0</v>
      </c>
      <c r="C18" s="23" t="s">
        <v>33</v>
      </c>
      <c r="D18" s="23" t="s">
        <v>189</v>
      </c>
      <c r="E18" s="27">
        <v>46015.0</v>
      </c>
      <c r="F18" s="27">
        <v>46016.0</v>
      </c>
      <c r="G18" s="25"/>
      <c r="H18" s="26">
        <v>0.0</v>
      </c>
      <c r="I18" s="26">
        <v>12.57</v>
      </c>
      <c r="J18" s="26">
        <v>12.57</v>
      </c>
      <c r="K18" s="26">
        <v>0.0</v>
      </c>
      <c r="L18" s="23" t="s">
        <v>190</v>
      </c>
      <c r="M18" s="23" t="s">
        <v>191</v>
      </c>
      <c r="N18" s="23" t="s">
        <v>23</v>
      </c>
      <c r="O18" s="23" t="s">
        <v>195</v>
      </c>
      <c r="P18" s="26">
        <v>0.0</v>
      </c>
      <c r="Q18" s="26">
        <v>0.0</v>
      </c>
      <c r="R18" s="24">
        <v>45994.0</v>
      </c>
      <c r="S18" s="23" t="s">
        <v>192</v>
      </c>
      <c r="T18" s="23" t="s">
        <v>193</v>
      </c>
      <c r="U18" s="23" t="s">
        <v>166</v>
      </c>
      <c r="V18" s="26">
        <v>1.0</v>
      </c>
    </row>
    <row r="19">
      <c r="A19" s="22"/>
      <c r="B19" s="23">
        <v>14.0</v>
      </c>
      <c r="C19" s="23" t="s">
        <v>35</v>
      </c>
      <c r="D19" s="23" t="s">
        <v>196</v>
      </c>
      <c r="E19" s="27">
        <v>46016.0</v>
      </c>
      <c r="F19" s="27">
        <v>46020.0</v>
      </c>
      <c r="G19" s="25"/>
      <c r="H19" s="26">
        <v>0.0</v>
      </c>
      <c r="I19" s="26">
        <v>11.85</v>
      </c>
      <c r="J19" s="26">
        <v>11.85</v>
      </c>
      <c r="K19" s="26">
        <v>0.0</v>
      </c>
      <c r="L19" s="23" t="s">
        <v>190</v>
      </c>
      <c r="M19" s="23" t="s">
        <v>191</v>
      </c>
      <c r="N19" s="23" t="s">
        <v>36</v>
      </c>
      <c r="O19" s="23">
        <v>13.0</v>
      </c>
      <c r="P19" s="26">
        <v>0.0</v>
      </c>
      <c r="Q19" s="26">
        <v>0.0</v>
      </c>
      <c r="R19" s="24">
        <v>45994.0</v>
      </c>
      <c r="S19" s="23" t="s">
        <v>192</v>
      </c>
      <c r="T19" s="23" t="s">
        <v>193</v>
      </c>
      <c r="U19" s="23" t="s">
        <v>166</v>
      </c>
      <c r="V19" s="26">
        <v>1.0</v>
      </c>
    </row>
    <row r="20">
      <c r="A20" s="22"/>
      <c r="B20" s="23">
        <v>15.0</v>
      </c>
      <c r="C20" s="23" t="s">
        <v>37</v>
      </c>
      <c r="D20" s="23" t="s">
        <v>197</v>
      </c>
      <c r="E20" s="27">
        <v>46020.0</v>
      </c>
      <c r="F20" s="27">
        <v>46022.0</v>
      </c>
      <c r="G20" s="25"/>
      <c r="H20" s="26">
        <v>0.0</v>
      </c>
      <c r="I20" s="26">
        <v>13.2</v>
      </c>
      <c r="J20" s="26">
        <v>13.2</v>
      </c>
      <c r="K20" s="26">
        <v>0.0</v>
      </c>
      <c r="L20" s="23" t="s">
        <v>190</v>
      </c>
      <c r="M20" s="23" t="s">
        <v>191</v>
      </c>
      <c r="N20" s="23" t="s">
        <v>36</v>
      </c>
      <c r="O20" s="23">
        <v>14.0</v>
      </c>
      <c r="P20" s="26">
        <v>0.0</v>
      </c>
      <c r="Q20" s="26">
        <v>0.0</v>
      </c>
      <c r="R20" s="24">
        <v>45994.0</v>
      </c>
      <c r="S20" s="23" t="s">
        <v>192</v>
      </c>
      <c r="T20" s="23" t="s">
        <v>193</v>
      </c>
      <c r="U20" s="23" t="s">
        <v>166</v>
      </c>
      <c r="V20" s="26">
        <v>1.0</v>
      </c>
    </row>
    <row r="21">
      <c r="A21" s="22"/>
      <c r="B21" s="23">
        <v>16.0</v>
      </c>
      <c r="C21" s="23" t="s">
        <v>38</v>
      </c>
      <c r="D21" s="23" t="s">
        <v>197</v>
      </c>
      <c r="E21" s="27">
        <v>46020.0</v>
      </c>
      <c r="F21" s="27">
        <v>46021.0</v>
      </c>
      <c r="G21" s="25"/>
      <c r="H21" s="26">
        <v>0.0</v>
      </c>
      <c r="I21" s="26">
        <v>9.45</v>
      </c>
      <c r="J21" s="26">
        <v>9.45</v>
      </c>
      <c r="K21" s="26">
        <v>0.0</v>
      </c>
      <c r="L21" s="23" t="s">
        <v>190</v>
      </c>
      <c r="M21" s="23" t="s">
        <v>191</v>
      </c>
      <c r="N21" s="23" t="s">
        <v>36</v>
      </c>
      <c r="O21" s="23">
        <v>14.0</v>
      </c>
      <c r="P21" s="26">
        <v>0.0</v>
      </c>
      <c r="Q21" s="26">
        <v>0.0</v>
      </c>
      <c r="R21" s="24">
        <v>45994.0</v>
      </c>
      <c r="S21" s="23" t="s">
        <v>192</v>
      </c>
      <c r="T21" s="23" t="s">
        <v>193</v>
      </c>
      <c r="U21" s="23" t="s">
        <v>166</v>
      </c>
      <c r="V21" s="26">
        <v>1.0</v>
      </c>
    </row>
    <row r="22">
      <c r="A22" s="22"/>
      <c r="B22" s="23">
        <v>17.0</v>
      </c>
      <c r="C22" s="23" t="s">
        <v>39</v>
      </c>
      <c r="D22" s="23" t="s">
        <v>197</v>
      </c>
      <c r="E22" s="27">
        <v>46020.0</v>
      </c>
      <c r="F22" s="27">
        <v>46022.0</v>
      </c>
      <c r="G22" s="25"/>
      <c r="H22" s="26">
        <v>0.0</v>
      </c>
      <c r="I22" s="26">
        <v>12.4</v>
      </c>
      <c r="J22" s="26">
        <v>12.4</v>
      </c>
      <c r="K22" s="26">
        <v>0.0</v>
      </c>
      <c r="L22" s="23" t="s">
        <v>190</v>
      </c>
      <c r="M22" s="23" t="s">
        <v>191</v>
      </c>
      <c r="N22" s="23" t="s">
        <v>36</v>
      </c>
      <c r="O22" s="23">
        <v>14.0</v>
      </c>
      <c r="P22" s="26">
        <v>0.0</v>
      </c>
      <c r="Q22" s="26">
        <v>0.0</v>
      </c>
      <c r="R22" s="24">
        <v>45994.0</v>
      </c>
      <c r="S22" s="23" t="s">
        <v>192</v>
      </c>
      <c r="T22" s="23" t="s">
        <v>193</v>
      </c>
      <c r="U22" s="23" t="s">
        <v>166</v>
      </c>
      <c r="V22" s="26">
        <v>1.0</v>
      </c>
    </row>
    <row r="23">
      <c r="A23" s="22"/>
      <c r="B23" s="23">
        <v>18.0</v>
      </c>
      <c r="C23" s="23" t="s">
        <v>40</v>
      </c>
      <c r="D23" s="23" t="s">
        <v>197</v>
      </c>
      <c r="E23" s="27">
        <v>46022.0</v>
      </c>
      <c r="F23" s="24">
        <v>46023.0</v>
      </c>
      <c r="G23" s="25"/>
      <c r="H23" s="26">
        <v>0.0</v>
      </c>
      <c r="I23" s="26">
        <v>14.0</v>
      </c>
      <c r="J23" s="26">
        <v>14.0</v>
      </c>
      <c r="K23" s="26">
        <v>0.0</v>
      </c>
      <c r="L23" s="23" t="s">
        <v>190</v>
      </c>
      <c r="M23" s="23" t="s">
        <v>191</v>
      </c>
      <c r="N23" s="23" t="s">
        <v>36</v>
      </c>
      <c r="O23" s="23" t="s">
        <v>198</v>
      </c>
      <c r="P23" s="26">
        <v>0.0</v>
      </c>
      <c r="Q23" s="26">
        <v>0.0</v>
      </c>
      <c r="R23" s="24">
        <v>45994.0</v>
      </c>
      <c r="S23" s="23" t="s">
        <v>192</v>
      </c>
      <c r="T23" s="23" t="s">
        <v>193</v>
      </c>
      <c r="U23" s="23" t="s">
        <v>166</v>
      </c>
      <c r="V23" s="26">
        <v>1.0</v>
      </c>
    </row>
    <row r="24">
      <c r="A24" s="22"/>
      <c r="B24" s="23">
        <v>19.0</v>
      </c>
      <c r="C24" s="23" t="s">
        <v>41</v>
      </c>
      <c r="D24" s="23" t="s">
        <v>197</v>
      </c>
      <c r="E24" s="27">
        <v>46022.0</v>
      </c>
      <c r="F24" s="24">
        <v>46024.0</v>
      </c>
      <c r="G24" s="25"/>
      <c r="H24" s="26">
        <v>0.0</v>
      </c>
      <c r="I24" s="26">
        <v>15.45</v>
      </c>
      <c r="J24" s="26">
        <v>15.45</v>
      </c>
      <c r="K24" s="26">
        <v>0.0</v>
      </c>
      <c r="L24" s="23" t="s">
        <v>190</v>
      </c>
      <c r="M24" s="23" t="s">
        <v>191</v>
      </c>
      <c r="N24" s="23" t="s">
        <v>36</v>
      </c>
      <c r="O24" s="23" t="s">
        <v>199</v>
      </c>
      <c r="P24" s="26">
        <v>0.0</v>
      </c>
      <c r="Q24" s="26">
        <v>0.0</v>
      </c>
      <c r="R24" s="24">
        <v>45994.0</v>
      </c>
      <c r="S24" s="23" t="s">
        <v>192</v>
      </c>
      <c r="T24" s="23" t="s">
        <v>193</v>
      </c>
      <c r="U24" s="23" t="s">
        <v>166</v>
      </c>
      <c r="V24" s="26">
        <v>1.0</v>
      </c>
    </row>
    <row r="25">
      <c r="A25" s="22"/>
      <c r="B25" s="23">
        <v>20.0</v>
      </c>
      <c r="C25" s="23" t="s">
        <v>42</v>
      </c>
      <c r="D25" s="23" t="s">
        <v>197</v>
      </c>
      <c r="E25" s="27">
        <v>46022.0</v>
      </c>
      <c r="F25" s="24">
        <v>46023.0</v>
      </c>
      <c r="G25" s="25"/>
      <c r="H25" s="26">
        <v>0.0</v>
      </c>
      <c r="I25" s="26">
        <v>14.17</v>
      </c>
      <c r="J25" s="26">
        <v>14.17</v>
      </c>
      <c r="K25" s="26">
        <v>0.0</v>
      </c>
      <c r="L25" s="23" t="s">
        <v>190</v>
      </c>
      <c r="M25" s="23" t="s">
        <v>191</v>
      </c>
      <c r="N25" s="23" t="s">
        <v>36</v>
      </c>
      <c r="O25" s="23" t="s">
        <v>200</v>
      </c>
      <c r="P25" s="26">
        <v>0.0</v>
      </c>
      <c r="Q25" s="26">
        <v>0.0</v>
      </c>
      <c r="R25" s="24">
        <v>45994.0</v>
      </c>
      <c r="S25" s="23" t="s">
        <v>192</v>
      </c>
      <c r="T25" s="23" t="s">
        <v>193</v>
      </c>
      <c r="U25" s="23" t="s">
        <v>166</v>
      </c>
      <c r="V25" s="26">
        <v>1.0</v>
      </c>
    </row>
    <row r="26">
      <c r="A26" s="22"/>
      <c r="B26" s="23">
        <v>21.0</v>
      </c>
      <c r="C26" s="23" t="s">
        <v>43</v>
      </c>
      <c r="D26" s="23" t="s">
        <v>196</v>
      </c>
      <c r="E26" s="24">
        <v>46024.0</v>
      </c>
      <c r="F26" s="24">
        <v>46027.0</v>
      </c>
      <c r="G26" s="25"/>
      <c r="H26" s="26">
        <v>0.0</v>
      </c>
      <c r="I26" s="26">
        <v>13.6</v>
      </c>
      <c r="J26" s="26">
        <v>13.6</v>
      </c>
      <c r="K26" s="26">
        <v>0.0</v>
      </c>
      <c r="L26" s="23" t="s">
        <v>190</v>
      </c>
      <c r="M26" s="23" t="s">
        <v>191</v>
      </c>
      <c r="N26" s="23" t="s">
        <v>36</v>
      </c>
      <c r="O26" s="23" t="s">
        <v>201</v>
      </c>
      <c r="P26" s="26">
        <v>0.0</v>
      </c>
      <c r="Q26" s="26">
        <v>0.0</v>
      </c>
      <c r="R26" s="24">
        <v>45994.0</v>
      </c>
      <c r="S26" s="23" t="s">
        <v>192</v>
      </c>
      <c r="T26" s="23" t="s">
        <v>193</v>
      </c>
      <c r="U26" s="23" t="s">
        <v>166</v>
      </c>
      <c r="V26" s="26">
        <v>1.0</v>
      </c>
    </row>
    <row r="27">
      <c r="A27" s="22"/>
      <c r="B27" s="23">
        <v>22.0</v>
      </c>
      <c r="C27" s="23" t="s">
        <v>45</v>
      </c>
      <c r="D27" s="23" t="s">
        <v>149</v>
      </c>
      <c r="E27" s="27">
        <v>46016.0</v>
      </c>
      <c r="F27" s="27">
        <v>46020.0</v>
      </c>
      <c r="G27" s="25"/>
      <c r="H27" s="26">
        <v>0.0</v>
      </c>
      <c r="I27" s="26">
        <v>10.25</v>
      </c>
      <c r="J27" s="26">
        <v>10.25</v>
      </c>
      <c r="K27" s="26">
        <v>0.0</v>
      </c>
      <c r="L27" s="23" t="s">
        <v>190</v>
      </c>
      <c r="M27" s="23" t="s">
        <v>191</v>
      </c>
      <c r="N27" s="23" t="s">
        <v>44</v>
      </c>
      <c r="O27" s="23">
        <v>13.0</v>
      </c>
      <c r="P27" s="26">
        <v>0.0</v>
      </c>
      <c r="Q27" s="26">
        <v>0.0</v>
      </c>
      <c r="R27" s="24">
        <v>45994.0</v>
      </c>
      <c r="S27" s="23" t="s">
        <v>192</v>
      </c>
      <c r="T27" s="23" t="s">
        <v>193</v>
      </c>
      <c r="U27" s="23" t="s">
        <v>166</v>
      </c>
      <c r="V27" s="26">
        <v>1.0</v>
      </c>
    </row>
    <row r="28">
      <c r="A28" s="22"/>
      <c r="B28" s="23">
        <v>23.0</v>
      </c>
      <c r="C28" s="23" t="s">
        <v>47</v>
      </c>
      <c r="D28" s="23" t="s">
        <v>202</v>
      </c>
      <c r="E28" s="27">
        <v>46016.0</v>
      </c>
      <c r="F28" s="27">
        <v>46021.0</v>
      </c>
      <c r="G28" s="25"/>
      <c r="H28" s="26">
        <v>0.0</v>
      </c>
      <c r="I28" s="26">
        <v>17.05</v>
      </c>
      <c r="J28" s="26">
        <v>17.05</v>
      </c>
      <c r="K28" s="26">
        <v>0.0</v>
      </c>
      <c r="L28" s="23" t="s">
        <v>190</v>
      </c>
      <c r="M28" s="23" t="s">
        <v>191</v>
      </c>
      <c r="N28" s="23" t="s">
        <v>44</v>
      </c>
      <c r="O28" s="23">
        <v>13.0</v>
      </c>
      <c r="P28" s="26">
        <v>0.0</v>
      </c>
      <c r="Q28" s="26">
        <v>0.0</v>
      </c>
      <c r="R28" s="24">
        <v>45994.0</v>
      </c>
      <c r="S28" s="23" t="s">
        <v>192</v>
      </c>
      <c r="T28" s="23" t="s">
        <v>193</v>
      </c>
      <c r="U28" s="23" t="s">
        <v>166</v>
      </c>
      <c r="V28" s="26">
        <v>1.0</v>
      </c>
    </row>
    <row r="29">
      <c r="A29" s="22"/>
      <c r="B29" s="23">
        <v>24.0</v>
      </c>
      <c r="C29" s="23" t="s">
        <v>48</v>
      </c>
      <c r="D29" s="23" t="s">
        <v>149</v>
      </c>
      <c r="E29" s="27">
        <v>46021.0</v>
      </c>
      <c r="F29" s="24">
        <v>46023.0</v>
      </c>
      <c r="G29" s="25"/>
      <c r="H29" s="26">
        <v>0.0</v>
      </c>
      <c r="I29" s="26">
        <v>20.97</v>
      </c>
      <c r="J29" s="26">
        <v>20.97</v>
      </c>
      <c r="K29" s="26">
        <v>0.0</v>
      </c>
      <c r="L29" s="23" t="s">
        <v>190</v>
      </c>
      <c r="M29" s="23" t="s">
        <v>191</v>
      </c>
      <c r="N29" s="23" t="s">
        <v>44</v>
      </c>
      <c r="O29" s="23" t="s">
        <v>203</v>
      </c>
      <c r="P29" s="26">
        <v>0.0</v>
      </c>
      <c r="Q29" s="26">
        <v>0.0</v>
      </c>
      <c r="R29" s="24">
        <v>45994.0</v>
      </c>
      <c r="S29" s="23" t="s">
        <v>192</v>
      </c>
      <c r="T29" s="23" t="s">
        <v>193</v>
      </c>
      <c r="U29" s="23" t="s">
        <v>166</v>
      </c>
      <c r="V29" s="26">
        <v>1.0</v>
      </c>
    </row>
    <row r="30">
      <c r="A30" s="22"/>
      <c r="B30" s="23">
        <v>25.0</v>
      </c>
      <c r="C30" s="23" t="s">
        <v>49</v>
      </c>
      <c r="D30" s="23" t="s">
        <v>204</v>
      </c>
      <c r="E30" s="24">
        <v>46023.0</v>
      </c>
      <c r="F30" s="24">
        <v>46028.0</v>
      </c>
      <c r="G30" s="25"/>
      <c r="H30" s="26">
        <v>0.0</v>
      </c>
      <c r="I30" s="26">
        <v>21.37</v>
      </c>
      <c r="J30" s="26">
        <v>21.37</v>
      </c>
      <c r="K30" s="26">
        <v>0.0</v>
      </c>
      <c r="L30" s="23" t="s">
        <v>190</v>
      </c>
      <c r="M30" s="23" t="s">
        <v>191</v>
      </c>
      <c r="N30" s="23" t="s">
        <v>44</v>
      </c>
      <c r="O30" s="23">
        <v>24.0</v>
      </c>
      <c r="P30" s="26">
        <v>0.0</v>
      </c>
      <c r="Q30" s="26">
        <v>0.0</v>
      </c>
      <c r="R30" s="24">
        <v>45994.0</v>
      </c>
      <c r="S30" s="23" t="s">
        <v>192</v>
      </c>
      <c r="T30" s="23" t="s">
        <v>193</v>
      </c>
      <c r="U30" s="23" t="s">
        <v>166</v>
      </c>
      <c r="V30" s="26">
        <v>1.0</v>
      </c>
    </row>
    <row r="31">
      <c r="A31" s="22"/>
      <c r="B31" s="23">
        <v>26.0</v>
      </c>
      <c r="C31" s="23" t="s">
        <v>50</v>
      </c>
      <c r="D31" s="23" t="s">
        <v>205</v>
      </c>
      <c r="E31" s="24">
        <v>46023.0</v>
      </c>
      <c r="F31" s="24">
        <v>46027.0</v>
      </c>
      <c r="G31" s="25"/>
      <c r="H31" s="26">
        <v>0.0</v>
      </c>
      <c r="I31" s="26">
        <v>13.37</v>
      </c>
      <c r="J31" s="26">
        <v>13.37</v>
      </c>
      <c r="K31" s="26">
        <v>0.0</v>
      </c>
      <c r="L31" s="23" t="s">
        <v>190</v>
      </c>
      <c r="M31" s="23" t="s">
        <v>191</v>
      </c>
      <c r="N31" s="23" t="s">
        <v>44</v>
      </c>
      <c r="O31" s="23">
        <v>24.0</v>
      </c>
      <c r="P31" s="26">
        <v>0.0</v>
      </c>
      <c r="Q31" s="26">
        <v>0.0</v>
      </c>
      <c r="R31" s="24">
        <v>45994.0</v>
      </c>
      <c r="S31" s="23" t="s">
        <v>192</v>
      </c>
      <c r="T31" s="23" t="s">
        <v>193</v>
      </c>
      <c r="U31" s="23" t="s">
        <v>166</v>
      </c>
      <c r="V31" s="26">
        <v>1.0</v>
      </c>
    </row>
    <row r="32">
      <c r="A32" s="22"/>
      <c r="B32" s="23">
        <v>27.0</v>
      </c>
      <c r="C32" s="23" t="s">
        <v>52</v>
      </c>
      <c r="D32" s="23" t="s">
        <v>206</v>
      </c>
      <c r="E32" s="24">
        <v>46027.0</v>
      </c>
      <c r="F32" s="24">
        <v>46029.0</v>
      </c>
      <c r="G32" s="25"/>
      <c r="H32" s="26">
        <v>0.0</v>
      </c>
      <c r="I32" s="26">
        <v>15.2</v>
      </c>
      <c r="J32" s="26">
        <v>15.2</v>
      </c>
      <c r="K32" s="26">
        <v>0.0</v>
      </c>
      <c r="L32" s="23" t="s">
        <v>190</v>
      </c>
      <c r="M32" s="23" t="s">
        <v>191</v>
      </c>
      <c r="N32" s="23" t="s">
        <v>44</v>
      </c>
      <c r="O32" s="23">
        <v>26.0</v>
      </c>
      <c r="P32" s="26">
        <v>0.0</v>
      </c>
      <c r="Q32" s="26">
        <v>0.0</v>
      </c>
      <c r="R32" s="24">
        <v>45994.0</v>
      </c>
      <c r="S32" s="23" t="s">
        <v>192</v>
      </c>
      <c r="T32" s="23" t="s">
        <v>193</v>
      </c>
      <c r="U32" s="23" t="s">
        <v>166</v>
      </c>
      <c r="V32" s="26">
        <v>1.0</v>
      </c>
    </row>
    <row r="33">
      <c r="A33" s="22"/>
      <c r="B33" s="23">
        <v>28.0</v>
      </c>
      <c r="C33" s="23" t="s">
        <v>53</v>
      </c>
      <c r="D33" s="23" t="s">
        <v>205</v>
      </c>
      <c r="E33" s="24">
        <v>46027.0</v>
      </c>
      <c r="F33" s="24">
        <v>46029.0</v>
      </c>
      <c r="G33" s="25"/>
      <c r="H33" s="26">
        <v>0.0</v>
      </c>
      <c r="I33" s="26">
        <v>20.57</v>
      </c>
      <c r="J33" s="26">
        <v>20.57</v>
      </c>
      <c r="K33" s="26">
        <v>0.0</v>
      </c>
      <c r="L33" s="23" t="s">
        <v>190</v>
      </c>
      <c r="M33" s="23" t="s">
        <v>191</v>
      </c>
      <c r="N33" s="23" t="s">
        <v>44</v>
      </c>
      <c r="O33" s="23">
        <v>26.0</v>
      </c>
      <c r="P33" s="26">
        <v>0.0</v>
      </c>
      <c r="Q33" s="26">
        <v>0.0</v>
      </c>
      <c r="R33" s="24">
        <v>45994.0</v>
      </c>
      <c r="S33" s="23" t="s">
        <v>192</v>
      </c>
      <c r="T33" s="23" t="s">
        <v>193</v>
      </c>
      <c r="U33" s="23" t="s">
        <v>166</v>
      </c>
      <c r="V33" s="26">
        <v>1.0</v>
      </c>
    </row>
    <row r="34">
      <c r="A34" s="22"/>
      <c r="B34" s="23">
        <v>29.0</v>
      </c>
      <c r="C34" s="23" t="s">
        <v>54</v>
      </c>
      <c r="D34" s="23" t="s">
        <v>207</v>
      </c>
      <c r="E34" s="24">
        <v>46027.0</v>
      </c>
      <c r="F34" s="24">
        <v>46029.0</v>
      </c>
      <c r="G34" s="25"/>
      <c r="H34" s="26">
        <v>0.0</v>
      </c>
      <c r="I34" s="26">
        <v>17.37</v>
      </c>
      <c r="J34" s="26">
        <v>17.37</v>
      </c>
      <c r="K34" s="26">
        <v>0.0</v>
      </c>
      <c r="L34" s="23" t="s">
        <v>190</v>
      </c>
      <c r="M34" s="23" t="s">
        <v>191</v>
      </c>
      <c r="N34" s="23" t="s">
        <v>44</v>
      </c>
      <c r="O34" s="23">
        <v>26.0</v>
      </c>
      <c r="P34" s="26">
        <v>0.0</v>
      </c>
      <c r="Q34" s="26">
        <v>0.0</v>
      </c>
      <c r="R34" s="24">
        <v>45994.0</v>
      </c>
      <c r="S34" s="23" t="s">
        <v>192</v>
      </c>
      <c r="T34" s="23" t="s">
        <v>193</v>
      </c>
      <c r="U34" s="23" t="s">
        <v>166</v>
      </c>
      <c r="V34" s="26">
        <v>1.0</v>
      </c>
    </row>
    <row r="35">
      <c r="A35" s="22"/>
      <c r="B35" s="23">
        <v>30.0</v>
      </c>
      <c r="C35" s="23" t="s">
        <v>56</v>
      </c>
      <c r="D35" s="23" t="s">
        <v>155</v>
      </c>
      <c r="E35" s="24">
        <v>46023.0</v>
      </c>
      <c r="F35" s="24">
        <v>46028.0</v>
      </c>
      <c r="G35" s="25"/>
      <c r="H35" s="26">
        <v>0.0</v>
      </c>
      <c r="I35" s="26">
        <v>19.2</v>
      </c>
      <c r="J35" s="26">
        <v>19.2</v>
      </c>
      <c r="K35" s="26">
        <v>0.0</v>
      </c>
      <c r="L35" s="23" t="s">
        <v>190</v>
      </c>
      <c r="M35" s="23" t="s">
        <v>191</v>
      </c>
      <c r="N35" s="23" t="s">
        <v>55</v>
      </c>
      <c r="O35" s="23" t="s">
        <v>208</v>
      </c>
      <c r="P35" s="26">
        <v>0.0</v>
      </c>
      <c r="Q35" s="26">
        <v>0.0</v>
      </c>
      <c r="R35" s="24">
        <v>45994.0</v>
      </c>
      <c r="S35" s="23" t="s">
        <v>192</v>
      </c>
      <c r="T35" s="23" t="s">
        <v>193</v>
      </c>
      <c r="U35" s="23" t="s">
        <v>166</v>
      </c>
      <c r="V35" s="26">
        <v>1.0</v>
      </c>
    </row>
    <row r="36">
      <c r="A36" s="22"/>
      <c r="B36" s="23">
        <v>31.0</v>
      </c>
      <c r="C36" s="23" t="s">
        <v>58</v>
      </c>
      <c r="D36" s="23" t="s">
        <v>155</v>
      </c>
      <c r="E36" s="24">
        <v>46028.0</v>
      </c>
      <c r="F36" s="24">
        <v>46030.0</v>
      </c>
      <c r="G36" s="25"/>
      <c r="H36" s="26">
        <v>0.0</v>
      </c>
      <c r="I36" s="26">
        <v>16.25</v>
      </c>
      <c r="J36" s="26">
        <v>16.25</v>
      </c>
      <c r="K36" s="26">
        <v>0.0</v>
      </c>
      <c r="L36" s="23" t="s">
        <v>190</v>
      </c>
      <c r="M36" s="23" t="s">
        <v>191</v>
      </c>
      <c r="N36" s="23" t="s">
        <v>55</v>
      </c>
      <c r="O36" s="23">
        <v>30.0</v>
      </c>
      <c r="P36" s="26">
        <v>0.0</v>
      </c>
      <c r="Q36" s="26">
        <v>0.0</v>
      </c>
      <c r="R36" s="24">
        <v>45994.0</v>
      </c>
      <c r="S36" s="23" t="s">
        <v>192</v>
      </c>
      <c r="T36" s="23" t="s">
        <v>193</v>
      </c>
      <c r="U36" s="23" t="s">
        <v>166</v>
      </c>
      <c r="V36" s="26">
        <v>1.0</v>
      </c>
    </row>
    <row r="37">
      <c r="A37" s="22"/>
      <c r="B37" s="23">
        <v>32.0</v>
      </c>
      <c r="C37" s="23" t="s">
        <v>59</v>
      </c>
      <c r="D37" s="23" t="s">
        <v>155</v>
      </c>
      <c r="E37" s="24">
        <v>46030.0</v>
      </c>
      <c r="F37" s="24">
        <v>46035.0</v>
      </c>
      <c r="G37" s="25"/>
      <c r="H37" s="26">
        <v>0.0</v>
      </c>
      <c r="I37" s="26">
        <v>26.17</v>
      </c>
      <c r="J37" s="26">
        <v>26.17</v>
      </c>
      <c r="K37" s="26">
        <v>0.0</v>
      </c>
      <c r="L37" s="23" t="s">
        <v>190</v>
      </c>
      <c r="M37" s="23" t="s">
        <v>191</v>
      </c>
      <c r="N37" s="23" t="s">
        <v>55</v>
      </c>
      <c r="O37" s="23">
        <v>31.0</v>
      </c>
      <c r="P37" s="26">
        <v>0.0</v>
      </c>
      <c r="Q37" s="26">
        <v>0.0</v>
      </c>
      <c r="R37" s="24">
        <v>45994.0</v>
      </c>
      <c r="S37" s="23" t="s">
        <v>192</v>
      </c>
      <c r="T37" s="23" t="s">
        <v>193</v>
      </c>
      <c r="U37" s="23" t="s">
        <v>166</v>
      </c>
      <c r="V37" s="26">
        <v>1.0</v>
      </c>
    </row>
    <row r="38">
      <c r="A38" s="22"/>
      <c r="B38" s="23">
        <v>33.0</v>
      </c>
      <c r="C38" s="23" t="s">
        <v>60</v>
      </c>
      <c r="D38" s="23" t="s">
        <v>155</v>
      </c>
      <c r="E38" s="24">
        <v>46035.0</v>
      </c>
      <c r="F38" s="24">
        <v>46037.0</v>
      </c>
      <c r="G38" s="25"/>
      <c r="H38" s="26">
        <v>0.0</v>
      </c>
      <c r="I38" s="26">
        <v>15.77</v>
      </c>
      <c r="J38" s="26">
        <v>15.77</v>
      </c>
      <c r="K38" s="26">
        <v>0.0</v>
      </c>
      <c r="L38" s="23" t="s">
        <v>190</v>
      </c>
      <c r="M38" s="23" t="s">
        <v>191</v>
      </c>
      <c r="N38" s="23" t="s">
        <v>55</v>
      </c>
      <c r="O38" s="23">
        <v>32.0</v>
      </c>
      <c r="P38" s="26">
        <v>0.0</v>
      </c>
      <c r="Q38" s="26">
        <v>0.0</v>
      </c>
      <c r="R38" s="24">
        <v>45994.0</v>
      </c>
      <c r="S38" s="23" t="s">
        <v>192</v>
      </c>
      <c r="T38" s="23" t="s">
        <v>193</v>
      </c>
      <c r="U38" s="23" t="s">
        <v>166</v>
      </c>
      <c r="V38" s="26">
        <v>1.0</v>
      </c>
    </row>
    <row r="39">
      <c r="A39" s="22"/>
      <c r="B39" s="23">
        <v>34.0</v>
      </c>
      <c r="C39" s="23" t="s">
        <v>61</v>
      </c>
      <c r="D39" s="23" t="s">
        <v>155</v>
      </c>
      <c r="E39" s="24">
        <v>46035.0</v>
      </c>
      <c r="F39" s="24">
        <v>46036.0</v>
      </c>
      <c r="G39" s="25"/>
      <c r="H39" s="26">
        <v>0.0</v>
      </c>
      <c r="I39" s="26">
        <v>10.57</v>
      </c>
      <c r="J39" s="26">
        <v>10.57</v>
      </c>
      <c r="K39" s="26">
        <v>0.0</v>
      </c>
      <c r="L39" s="23" t="s">
        <v>190</v>
      </c>
      <c r="M39" s="23" t="s">
        <v>191</v>
      </c>
      <c r="N39" s="23" t="s">
        <v>55</v>
      </c>
      <c r="O39" s="23">
        <v>32.0</v>
      </c>
      <c r="P39" s="26">
        <v>0.0</v>
      </c>
      <c r="Q39" s="26">
        <v>0.0</v>
      </c>
      <c r="R39" s="24">
        <v>45994.0</v>
      </c>
      <c r="S39" s="23" t="s">
        <v>192</v>
      </c>
      <c r="T39" s="23" t="s">
        <v>193</v>
      </c>
      <c r="U39" s="23" t="s">
        <v>166</v>
      </c>
      <c r="V39" s="26">
        <v>1.0</v>
      </c>
    </row>
    <row r="40">
      <c r="A40" s="22"/>
      <c r="B40" s="23">
        <v>35.0</v>
      </c>
      <c r="C40" s="23" t="s">
        <v>62</v>
      </c>
      <c r="D40" s="23" t="s">
        <v>155</v>
      </c>
      <c r="E40" s="24">
        <v>46036.0</v>
      </c>
      <c r="F40" s="24">
        <v>46042.0</v>
      </c>
      <c r="G40" s="25"/>
      <c r="H40" s="26">
        <v>0.0</v>
      </c>
      <c r="I40" s="26">
        <v>30.65</v>
      </c>
      <c r="J40" s="26">
        <v>30.65</v>
      </c>
      <c r="K40" s="26">
        <v>0.0</v>
      </c>
      <c r="L40" s="23" t="s">
        <v>190</v>
      </c>
      <c r="M40" s="23" t="s">
        <v>191</v>
      </c>
      <c r="N40" s="23" t="s">
        <v>55</v>
      </c>
      <c r="O40" s="23">
        <v>34.0</v>
      </c>
      <c r="P40" s="26">
        <v>0.0</v>
      </c>
      <c r="Q40" s="26">
        <v>0.0</v>
      </c>
      <c r="R40" s="24">
        <v>45994.0</v>
      </c>
      <c r="S40" s="23" t="s">
        <v>192</v>
      </c>
      <c r="T40" s="23" t="s">
        <v>193</v>
      </c>
      <c r="U40" s="23" t="s">
        <v>166</v>
      </c>
      <c r="V40" s="26">
        <v>1.0</v>
      </c>
    </row>
    <row r="41">
      <c r="A41" s="22"/>
      <c r="B41" s="23">
        <v>36.0</v>
      </c>
      <c r="C41" s="23" t="s">
        <v>63</v>
      </c>
      <c r="D41" s="23" t="s">
        <v>155</v>
      </c>
      <c r="E41" s="24">
        <v>46042.0</v>
      </c>
      <c r="F41" s="24">
        <v>46044.0</v>
      </c>
      <c r="G41" s="25"/>
      <c r="H41" s="26">
        <v>0.0</v>
      </c>
      <c r="I41" s="26">
        <v>16.0</v>
      </c>
      <c r="J41" s="26">
        <v>16.0</v>
      </c>
      <c r="K41" s="26">
        <v>0.0</v>
      </c>
      <c r="L41" s="23" t="s">
        <v>190</v>
      </c>
      <c r="M41" s="23" t="s">
        <v>191</v>
      </c>
      <c r="N41" s="23" t="s">
        <v>55</v>
      </c>
      <c r="O41" s="23">
        <v>35.0</v>
      </c>
      <c r="P41" s="26">
        <v>0.0</v>
      </c>
      <c r="Q41" s="26">
        <v>0.0</v>
      </c>
      <c r="R41" s="24">
        <v>45994.0</v>
      </c>
      <c r="S41" s="23" t="s">
        <v>192</v>
      </c>
      <c r="T41" s="23" t="s">
        <v>193</v>
      </c>
      <c r="U41" s="23" t="s">
        <v>166</v>
      </c>
      <c r="V41" s="26">
        <v>1.0</v>
      </c>
    </row>
    <row r="42">
      <c r="A42" s="22"/>
      <c r="B42" s="23">
        <v>37.0</v>
      </c>
      <c r="C42" s="23" t="s">
        <v>64</v>
      </c>
      <c r="D42" s="23" t="s">
        <v>155</v>
      </c>
      <c r="E42" s="24">
        <v>46044.0</v>
      </c>
      <c r="F42" s="24">
        <v>46050.0</v>
      </c>
      <c r="G42" s="25"/>
      <c r="H42" s="26">
        <v>0.0</v>
      </c>
      <c r="I42" s="26">
        <v>30.17</v>
      </c>
      <c r="J42" s="26">
        <v>30.17</v>
      </c>
      <c r="K42" s="26">
        <v>0.0</v>
      </c>
      <c r="L42" s="23" t="s">
        <v>190</v>
      </c>
      <c r="M42" s="23" t="s">
        <v>191</v>
      </c>
      <c r="N42" s="23" t="s">
        <v>55</v>
      </c>
      <c r="O42" s="23">
        <v>36.0</v>
      </c>
      <c r="P42" s="26">
        <v>0.0</v>
      </c>
      <c r="Q42" s="26">
        <v>0.0</v>
      </c>
      <c r="R42" s="24">
        <v>45994.0</v>
      </c>
      <c r="S42" s="23" t="s">
        <v>192</v>
      </c>
      <c r="T42" s="23" t="s">
        <v>193</v>
      </c>
      <c r="U42" s="23" t="s">
        <v>166</v>
      </c>
      <c r="V42" s="26">
        <v>1.0</v>
      </c>
    </row>
    <row r="43">
      <c r="A43" s="22"/>
      <c r="B43" s="23">
        <v>38.0</v>
      </c>
      <c r="C43" s="23" t="s">
        <v>65</v>
      </c>
      <c r="D43" s="23" t="s">
        <v>155</v>
      </c>
      <c r="E43" s="24">
        <v>46050.0</v>
      </c>
      <c r="F43" s="24">
        <v>46055.0</v>
      </c>
      <c r="G43" s="25"/>
      <c r="H43" s="26">
        <v>0.0</v>
      </c>
      <c r="I43" s="26">
        <v>25.77</v>
      </c>
      <c r="J43" s="26">
        <v>25.77</v>
      </c>
      <c r="K43" s="26">
        <v>0.0</v>
      </c>
      <c r="L43" s="23" t="s">
        <v>190</v>
      </c>
      <c r="M43" s="23" t="s">
        <v>191</v>
      </c>
      <c r="N43" s="23" t="s">
        <v>55</v>
      </c>
      <c r="O43" s="23">
        <v>37.0</v>
      </c>
      <c r="P43" s="26">
        <v>0.0</v>
      </c>
      <c r="Q43" s="26">
        <v>0.0</v>
      </c>
      <c r="R43" s="24">
        <v>45994.0</v>
      </c>
      <c r="S43" s="23" t="s">
        <v>192</v>
      </c>
      <c r="T43" s="23" t="s">
        <v>193</v>
      </c>
      <c r="U43" s="23" t="s">
        <v>166</v>
      </c>
      <c r="V43" s="26">
        <v>1.0</v>
      </c>
    </row>
    <row r="44">
      <c r="A44" s="22"/>
      <c r="B44" s="23">
        <v>39.0</v>
      </c>
      <c r="C44" s="23" t="s">
        <v>66</v>
      </c>
      <c r="D44" s="23" t="s">
        <v>209</v>
      </c>
      <c r="E44" s="24">
        <v>46055.0</v>
      </c>
      <c r="F44" s="24">
        <v>46058.0</v>
      </c>
      <c r="G44" s="25"/>
      <c r="H44" s="26">
        <v>0.0</v>
      </c>
      <c r="I44" s="26">
        <v>22.57</v>
      </c>
      <c r="J44" s="26">
        <v>22.57</v>
      </c>
      <c r="K44" s="26">
        <v>0.0</v>
      </c>
      <c r="L44" s="23" t="s">
        <v>190</v>
      </c>
      <c r="M44" s="23" t="s">
        <v>191</v>
      </c>
      <c r="N44" s="23" t="s">
        <v>55</v>
      </c>
      <c r="O44" s="23" t="s">
        <v>210</v>
      </c>
      <c r="P44" s="26">
        <v>0.0</v>
      </c>
      <c r="Q44" s="26">
        <v>0.0</v>
      </c>
      <c r="R44" s="24">
        <v>45994.0</v>
      </c>
      <c r="S44" s="23" t="s">
        <v>192</v>
      </c>
      <c r="T44" s="23" t="s">
        <v>193</v>
      </c>
      <c r="U44" s="23" t="s">
        <v>166</v>
      </c>
      <c r="V44" s="26">
        <v>1.0</v>
      </c>
    </row>
    <row r="45">
      <c r="A45" s="22"/>
      <c r="B45" s="23">
        <v>40.0</v>
      </c>
      <c r="C45" s="23" t="s">
        <v>68</v>
      </c>
      <c r="D45" s="23" t="s">
        <v>211</v>
      </c>
      <c r="E45" s="24">
        <v>46044.0</v>
      </c>
      <c r="F45" s="24">
        <v>46048.0</v>
      </c>
      <c r="G45" s="25"/>
      <c r="H45" s="26">
        <v>0.0</v>
      </c>
      <c r="I45" s="26">
        <v>14.0</v>
      </c>
      <c r="J45" s="26">
        <v>14.0</v>
      </c>
      <c r="K45" s="26">
        <v>0.0</v>
      </c>
      <c r="L45" s="23" t="s">
        <v>190</v>
      </c>
      <c r="M45" s="23" t="s">
        <v>191</v>
      </c>
      <c r="N45" s="23" t="s">
        <v>67</v>
      </c>
      <c r="O45" s="23" t="s">
        <v>212</v>
      </c>
      <c r="P45" s="26">
        <v>0.0</v>
      </c>
      <c r="Q45" s="26">
        <v>0.0</v>
      </c>
      <c r="R45" s="24">
        <v>45994.0</v>
      </c>
      <c r="S45" s="23" t="s">
        <v>192</v>
      </c>
      <c r="T45" s="23" t="s">
        <v>193</v>
      </c>
      <c r="U45" s="23" t="s">
        <v>166</v>
      </c>
      <c r="V45" s="26">
        <v>1.0</v>
      </c>
    </row>
    <row r="46">
      <c r="A46" s="22"/>
      <c r="B46" s="23">
        <v>41.0</v>
      </c>
      <c r="C46" s="23" t="s">
        <v>70</v>
      </c>
      <c r="D46" s="23" t="s">
        <v>211</v>
      </c>
      <c r="E46" s="24">
        <v>45994.0</v>
      </c>
      <c r="F46" s="24">
        <v>45995.0</v>
      </c>
      <c r="G46" s="25"/>
      <c r="H46" s="26">
        <v>0.0</v>
      </c>
      <c r="I46" s="26">
        <v>11.77</v>
      </c>
      <c r="J46" s="26">
        <v>11.77</v>
      </c>
      <c r="K46" s="26">
        <v>0.0</v>
      </c>
      <c r="L46" s="23" t="s">
        <v>190</v>
      </c>
      <c r="M46" s="23" t="s">
        <v>191</v>
      </c>
      <c r="N46" s="23" t="s">
        <v>67</v>
      </c>
      <c r="O46" s="25"/>
      <c r="P46" s="26">
        <v>0.0</v>
      </c>
      <c r="Q46" s="26">
        <v>0.0</v>
      </c>
      <c r="R46" s="24">
        <v>45994.0</v>
      </c>
      <c r="S46" s="23" t="s">
        <v>192</v>
      </c>
      <c r="T46" s="23" t="s">
        <v>193</v>
      </c>
      <c r="U46" s="23" t="s">
        <v>166</v>
      </c>
      <c r="V46" s="26">
        <v>1.0</v>
      </c>
    </row>
    <row r="47">
      <c r="A47" s="22"/>
      <c r="B47" s="23">
        <v>42.0</v>
      </c>
      <c r="C47" s="23" t="s">
        <v>71</v>
      </c>
      <c r="D47" s="23" t="s">
        <v>211</v>
      </c>
      <c r="E47" s="24">
        <v>46028.0</v>
      </c>
      <c r="F47" s="24">
        <v>46030.0</v>
      </c>
      <c r="G47" s="25"/>
      <c r="H47" s="26">
        <v>0.0</v>
      </c>
      <c r="I47" s="26">
        <v>19.2</v>
      </c>
      <c r="J47" s="26">
        <v>19.2</v>
      </c>
      <c r="K47" s="26">
        <v>0.0</v>
      </c>
      <c r="L47" s="23" t="s">
        <v>190</v>
      </c>
      <c r="M47" s="23" t="s">
        <v>191</v>
      </c>
      <c r="N47" s="23" t="s">
        <v>67</v>
      </c>
      <c r="O47" s="23">
        <v>25.0</v>
      </c>
      <c r="P47" s="26">
        <v>0.0</v>
      </c>
      <c r="Q47" s="26">
        <v>0.0</v>
      </c>
      <c r="R47" s="24">
        <v>45994.0</v>
      </c>
      <c r="S47" s="23" t="s">
        <v>192</v>
      </c>
      <c r="T47" s="23" t="s">
        <v>193</v>
      </c>
      <c r="U47" s="23" t="s">
        <v>166</v>
      </c>
      <c r="V47" s="26">
        <v>1.0</v>
      </c>
    </row>
    <row r="48">
      <c r="A48" s="22"/>
      <c r="B48" s="23">
        <v>43.0</v>
      </c>
      <c r="C48" s="23" t="s">
        <v>72</v>
      </c>
      <c r="D48" s="23" t="s">
        <v>211</v>
      </c>
      <c r="E48" s="24">
        <v>46030.0</v>
      </c>
      <c r="F48" s="24">
        <v>46035.0</v>
      </c>
      <c r="G48" s="25"/>
      <c r="H48" s="26">
        <v>0.0</v>
      </c>
      <c r="I48" s="26">
        <v>20.17</v>
      </c>
      <c r="J48" s="26">
        <v>20.17</v>
      </c>
      <c r="K48" s="26">
        <v>0.0</v>
      </c>
      <c r="L48" s="23" t="s">
        <v>190</v>
      </c>
      <c r="M48" s="23" t="s">
        <v>191</v>
      </c>
      <c r="N48" s="23" t="s">
        <v>67</v>
      </c>
      <c r="O48" s="23">
        <v>42.0</v>
      </c>
      <c r="P48" s="26">
        <v>0.0</v>
      </c>
      <c r="Q48" s="26">
        <v>0.0</v>
      </c>
      <c r="R48" s="24">
        <v>45994.0</v>
      </c>
      <c r="S48" s="23" t="s">
        <v>192</v>
      </c>
      <c r="T48" s="23" t="s">
        <v>193</v>
      </c>
      <c r="U48" s="23" t="s">
        <v>166</v>
      </c>
      <c r="V48" s="26">
        <v>1.0</v>
      </c>
    </row>
    <row r="49">
      <c r="A49" s="22"/>
      <c r="B49" s="23">
        <v>44.0</v>
      </c>
      <c r="C49" s="23" t="s">
        <v>73</v>
      </c>
      <c r="D49" s="23" t="s">
        <v>211</v>
      </c>
      <c r="E49" s="24">
        <v>45995.0</v>
      </c>
      <c r="F49" s="24">
        <v>45999.0</v>
      </c>
      <c r="G49" s="25"/>
      <c r="H49" s="26">
        <v>0.0</v>
      </c>
      <c r="I49" s="26">
        <v>15.85</v>
      </c>
      <c r="J49" s="26">
        <v>15.85</v>
      </c>
      <c r="K49" s="26">
        <v>0.0</v>
      </c>
      <c r="L49" s="23" t="s">
        <v>190</v>
      </c>
      <c r="M49" s="23" t="s">
        <v>191</v>
      </c>
      <c r="N49" s="23" t="s">
        <v>67</v>
      </c>
      <c r="O49" s="23">
        <v>41.0</v>
      </c>
      <c r="P49" s="26">
        <v>0.0</v>
      </c>
      <c r="Q49" s="26">
        <v>0.0</v>
      </c>
      <c r="R49" s="24">
        <v>45994.0</v>
      </c>
      <c r="S49" s="23" t="s">
        <v>192</v>
      </c>
      <c r="T49" s="23" t="s">
        <v>193</v>
      </c>
      <c r="U49" s="23" t="s">
        <v>166</v>
      </c>
      <c r="V49" s="26">
        <v>1.0</v>
      </c>
    </row>
    <row r="50">
      <c r="A50" s="22"/>
      <c r="B50" s="23">
        <v>45.0</v>
      </c>
      <c r="C50" s="23" t="s">
        <v>74</v>
      </c>
      <c r="D50" s="23" t="s">
        <v>211</v>
      </c>
      <c r="E50" s="24">
        <v>46035.0</v>
      </c>
      <c r="F50" s="24">
        <v>46037.0</v>
      </c>
      <c r="G50" s="25"/>
      <c r="H50" s="26">
        <v>0.0</v>
      </c>
      <c r="I50" s="26">
        <v>17.37</v>
      </c>
      <c r="J50" s="26">
        <v>17.37</v>
      </c>
      <c r="K50" s="26">
        <v>0.0</v>
      </c>
      <c r="L50" s="23" t="s">
        <v>190</v>
      </c>
      <c r="M50" s="23" t="s">
        <v>191</v>
      </c>
      <c r="N50" s="23" t="s">
        <v>67</v>
      </c>
      <c r="O50" s="23" t="s">
        <v>213</v>
      </c>
      <c r="P50" s="26">
        <v>0.0</v>
      </c>
      <c r="Q50" s="26">
        <v>0.0</v>
      </c>
      <c r="R50" s="24">
        <v>45994.0</v>
      </c>
      <c r="S50" s="23" t="s">
        <v>192</v>
      </c>
      <c r="T50" s="23" t="s">
        <v>193</v>
      </c>
      <c r="U50" s="23" t="s">
        <v>166</v>
      </c>
      <c r="V50" s="26">
        <v>1.0</v>
      </c>
    </row>
    <row r="51">
      <c r="A51" s="22"/>
      <c r="B51" s="23">
        <v>46.0</v>
      </c>
      <c r="C51" s="23" t="s">
        <v>75</v>
      </c>
      <c r="D51" s="23" t="s">
        <v>211</v>
      </c>
      <c r="E51" s="24">
        <v>46058.0</v>
      </c>
      <c r="F51" s="24">
        <v>46062.0</v>
      </c>
      <c r="G51" s="25"/>
      <c r="H51" s="26">
        <v>0.0</v>
      </c>
      <c r="I51" s="26">
        <v>14.4</v>
      </c>
      <c r="J51" s="26">
        <v>14.4</v>
      </c>
      <c r="K51" s="26">
        <v>0.0</v>
      </c>
      <c r="L51" s="23" t="s">
        <v>190</v>
      </c>
      <c r="M51" s="23" t="s">
        <v>191</v>
      </c>
      <c r="N51" s="23" t="s">
        <v>67</v>
      </c>
      <c r="O51" s="23" t="s">
        <v>214</v>
      </c>
      <c r="P51" s="26">
        <v>0.0</v>
      </c>
      <c r="Q51" s="26">
        <v>0.0</v>
      </c>
      <c r="R51" s="24">
        <v>45994.0</v>
      </c>
      <c r="S51" s="23" t="s">
        <v>192</v>
      </c>
      <c r="T51" s="23" t="s">
        <v>193</v>
      </c>
      <c r="U51" s="23" t="s">
        <v>166</v>
      </c>
      <c r="V51" s="26">
        <v>1.0</v>
      </c>
    </row>
    <row r="52">
      <c r="A52" s="22"/>
      <c r="B52" s="23">
        <v>47.0</v>
      </c>
      <c r="C52" s="23" t="s">
        <v>76</v>
      </c>
      <c r="D52" s="23" t="s">
        <v>211</v>
      </c>
      <c r="E52" s="24">
        <v>46062.0</v>
      </c>
      <c r="F52" s="24">
        <v>46064.0</v>
      </c>
      <c r="G52" s="25"/>
      <c r="H52" s="26">
        <v>0.0</v>
      </c>
      <c r="I52" s="26">
        <v>15.85</v>
      </c>
      <c r="J52" s="26">
        <v>15.85</v>
      </c>
      <c r="K52" s="26">
        <v>0.0</v>
      </c>
      <c r="L52" s="23" t="s">
        <v>190</v>
      </c>
      <c r="M52" s="23" t="s">
        <v>191</v>
      </c>
      <c r="N52" s="23" t="s">
        <v>67</v>
      </c>
      <c r="O52" s="23" t="s">
        <v>215</v>
      </c>
      <c r="P52" s="26">
        <v>0.0</v>
      </c>
      <c r="Q52" s="26">
        <v>0.0</v>
      </c>
      <c r="R52" s="24">
        <v>45994.0</v>
      </c>
      <c r="S52" s="23" t="s">
        <v>192</v>
      </c>
      <c r="T52" s="23" t="s">
        <v>193</v>
      </c>
      <c r="U52" s="23" t="s">
        <v>166</v>
      </c>
      <c r="V52" s="26">
        <v>1.0</v>
      </c>
    </row>
    <row r="53">
      <c r="A53" s="22"/>
      <c r="B53" s="23">
        <v>48.0</v>
      </c>
      <c r="C53" s="23" t="s">
        <v>77</v>
      </c>
      <c r="D53" s="23" t="s">
        <v>211</v>
      </c>
      <c r="E53" s="24">
        <v>46023.0</v>
      </c>
      <c r="F53" s="24">
        <v>46027.0</v>
      </c>
      <c r="G53" s="25"/>
      <c r="H53" s="26">
        <v>0.0</v>
      </c>
      <c r="I53" s="26">
        <v>16.65</v>
      </c>
      <c r="J53" s="26">
        <v>16.65</v>
      </c>
      <c r="K53" s="26">
        <v>0.0</v>
      </c>
      <c r="L53" s="23" t="s">
        <v>190</v>
      </c>
      <c r="M53" s="23" t="s">
        <v>191</v>
      </c>
      <c r="N53" s="23" t="s">
        <v>67</v>
      </c>
      <c r="O53" s="23">
        <v>24.0</v>
      </c>
      <c r="P53" s="26">
        <v>0.0</v>
      </c>
      <c r="Q53" s="26">
        <v>0.0</v>
      </c>
      <c r="R53" s="24">
        <v>45994.0</v>
      </c>
      <c r="S53" s="23" t="s">
        <v>192</v>
      </c>
      <c r="T53" s="23" t="s">
        <v>193</v>
      </c>
      <c r="U53" s="23" t="s">
        <v>166</v>
      </c>
      <c r="V53" s="26">
        <v>1.0</v>
      </c>
    </row>
    <row r="54">
      <c r="A54" s="22"/>
      <c r="B54" s="23">
        <v>49.0</v>
      </c>
      <c r="C54" s="23" t="s">
        <v>78</v>
      </c>
      <c r="D54" s="23" t="s">
        <v>211</v>
      </c>
      <c r="E54" s="24">
        <v>46027.0</v>
      </c>
      <c r="F54" s="24">
        <v>46029.0</v>
      </c>
      <c r="G54" s="25"/>
      <c r="H54" s="26">
        <v>0.0</v>
      </c>
      <c r="I54" s="26">
        <v>13.45</v>
      </c>
      <c r="J54" s="26">
        <v>13.45</v>
      </c>
      <c r="K54" s="26">
        <v>0.0</v>
      </c>
      <c r="L54" s="23" t="s">
        <v>190</v>
      </c>
      <c r="M54" s="23" t="s">
        <v>191</v>
      </c>
      <c r="N54" s="23" t="s">
        <v>67</v>
      </c>
      <c r="O54" s="23">
        <v>48.0</v>
      </c>
      <c r="P54" s="26">
        <v>0.0</v>
      </c>
      <c r="Q54" s="26">
        <v>0.0</v>
      </c>
      <c r="R54" s="24">
        <v>45994.0</v>
      </c>
      <c r="S54" s="23" t="s">
        <v>192</v>
      </c>
      <c r="T54" s="23" t="s">
        <v>193</v>
      </c>
      <c r="U54" s="23" t="s">
        <v>166</v>
      </c>
      <c r="V54" s="26">
        <v>1.0</v>
      </c>
    </row>
    <row r="55">
      <c r="A55" s="22"/>
      <c r="B55" s="23">
        <v>50.0</v>
      </c>
      <c r="C55" s="23" t="s">
        <v>79</v>
      </c>
      <c r="D55" s="23" t="s">
        <v>211</v>
      </c>
      <c r="E55" s="24">
        <v>46035.0</v>
      </c>
      <c r="F55" s="24">
        <v>46036.0</v>
      </c>
      <c r="G55" s="25"/>
      <c r="H55" s="26">
        <v>0.0</v>
      </c>
      <c r="I55" s="26">
        <v>12.57</v>
      </c>
      <c r="J55" s="26">
        <v>12.57</v>
      </c>
      <c r="K55" s="26">
        <v>0.0</v>
      </c>
      <c r="L55" s="23" t="s">
        <v>190</v>
      </c>
      <c r="M55" s="23" t="s">
        <v>191</v>
      </c>
      <c r="N55" s="23" t="s">
        <v>67</v>
      </c>
      <c r="O55" s="23">
        <v>43.0</v>
      </c>
      <c r="P55" s="26">
        <v>0.0</v>
      </c>
      <c r="Q55" s="26">
        <v>0.0</v>
      </c>
      <c r="R55" s="24">
        <v>45994.0</v>
      </c>
      <c r="S55" s="23" t="s">
        <v>192</v>
      </c>
      <c r="T55" s="23" t="s">
        <v>193</v>
      </c>
      <c r="U55" s="23" t="s">
        <v>166</v>
      </c>
      <c r="V55" s="26">
        <v>1.0</v>
      </c>
    </row>
    <row r="56">
      <c r="A56" s="22"/>
      <c r="B56" s="23">
        <v>51.0</v>
      </c>
      <c r="C56" s="23" t="s">
        <v>81</v>
      </c>
      <c r="D56" s="23" t="s">
        <v>158</v>
      </c>
      <c r="E56" s="24">
        <v>46027.0</v>
      </c>
      <c r="F56" s="24">
        <v>46029.0</v>
      </c>
      <c r="G56" s="25"/>
      <c r="H56" s="26">
        <v>0.0</v>
      </c>
      <c r="I56" s="26">
        <v>10.25</v>
      </c>
      <c r="J56" s="26">
        <v>10.25</v>
      </c>
      <c r="K56" s="26">
        <v>0.0</v>
      </c>
      <c r="L56" s="23" t="s">
        <v>190</v>
      </c>
      <c r="M56" s="23" t="s">
        <v>191</v>
      </c>
      <c r="N56" s="23" t="s">
        <v>80</v>
      </c>
      <c r="O56" s="23" t="s">
        <v>216</v>
      </c>
      <c r="P56" s="26">
        <v>0.0</v>
      </c>
      <c r="Q56" s="26">
        <v>0.0</v>
      </c>
      <c r="R56" s="24">
        <v>45994.0</v>
      </c>
      <c r="S56" s="23" t="s">
        <v>192</v>
      </c>
      <c r="T56" s="23" t="s">
        <v>193</v>
      </c>
      <c r="U56" s="23" t="s">
        <v>166</v>
      </c>
      <c r="V56" s="26">
        <v>1.0</v>
      </c>
    </row>
    <row r="57">
      <c r="A57" s="22"/>
      <c r="B57" s="23">
        <v>52.0</v>
      </c>
      <c r="C57" s="23" t="s">
        <v>83</v>
      </c>
      <c r="D57" s="23" t="s">
        <v>158</v>
      </c>
      <c r="E57" s="24">
        <v>46029.0</v>
      </c>
      <c r="F57" s="24">
        <v>46030.0</v>
      </c>
      <c r="G57" s="25"/>
      <c r="H57" s="26">
        <v>0.0</v>
      </c>
      <c r="I57" s="26">
        <v>12.0</v>
      </c>
      <c r="J57" s="26">
        <v>12.0</v>
      </c>
      <c r="K57" s="26">
        <v>0.0</v>
      </c>
      <c r="L57" s="23" t="s">
        <v>190</v>
      </c>
      <c r="M57" s="23" t="s">
        <v>191</v>
      </c>
      <c r="N57" s="23" t="s">
        <v>80</v>
      </c>
      <c r="O57" s="23">
        <v>51.0</v>
      </c>
      <c r="P57" s="26">
        <v>0.0</v>
      </c>
      <c r="Q57" s="26">
        <v>0.0</v>
      </c>
      <c r="R57" s="24">
        <v>45994.0</v>
      </c>
      <c r="S57" s="23" t="s">
        <v>192</v>
      </c>
      <c r="T57" s="23" t="s">
        <v>193</v>
      </c>
      <c r="U57" s="23" t="s">
        <v>166</v>
      </c>
      <c r="V57" s="26">
        <v>1.0</v>
      </c>
    </row>
    <row r="58">
      <c r="A58" s="22"/>
      <c r="B58" s="23">
        <v>53.0</v>
      </c>
      <c r="C58" s="23" t="s">
        <v>84</v>
      </c>
      <c r="D58" s="23" t="s">
        <v>158</v>
      </c>
      <c r="E58" s="24">
        <v>46030.0</v>
      </c>
      <c r="F58" s="24">
        <v>46031.0</v>
      </c>
      <c r="G58" s="25"/>
      <c r="H58" s="26">
        <v>0.0</v>
      </c>
      <c r="I58" s="26">
        <v>9.2</v>
      </c>
      <c r="J58" s="26">
        <v>9.2</v>
      </c>
      <c r="K58" s="26">
        <v>0.0</v>
      </c>
      <c r="L58" s="23" t="s">
        <v>190</v>
      </c>
      <c r="M58" s="23" t="s">
        <v>191</v>
      </c>
      <c r="N58" s="23" t="s">
        <v>80</v>
      </c>
      <c r="O58" s="23">
        <v>52.0</v>
      </c>
      <c r="P58" s="26">
        <v>0.0</v>
      </c>
      <c r="Q58" s="26">
        <v>0.0</v>
      </c>
      <c r="R58" s="24">
        <v>45994.0</v>
      </c>
      <c r="S58" s="23" t="s">
        <v>192</v>
      </c>
      <c r="T58" s="23" t="s">
        <v>193</v>
      </c>
      <c r="U58" s="23" t="s">
        <v>166</v>
      </c>
      <c r="V58" s="26">
        <v>1.0</v>
      </c>
    </row>
    <row r="59">
      <c r="A59" s="22"/>
      <c r="B59" s="23">
        <v>54.0</v>
      </c>
      <c r="C59" s="23" t="s">
        <v>85</v>
      </c>
      <c r="D59" s="23" t="s">
        <v>158</v>
      </c>
      <c r="E59" s="24">
        <v>46030.0</v>
      </c>
      <c r="F59" s="24">
        <v>46034.0</v>
      </c>
      <c r="G59" s="25"/>
      <c r="H59" s="26">
        <v>0.0</v>
      </c>
      <c r="I59" s="26">
        <v>15.6</v>
      </c>
      <c r="J59" s="26">
        <v>15.6</v>
      </c>
      <c r="K59" s="26">
        <v>0.0</v>
      </c>
      <c r="L59" s="23" t="s">
        <v>190</v>
      </c>
      <c r="M59" s="23" t="s">
        <v>191</v>
      </c>
      <c r="N59" s="23" t="s">
        <v>80</v>
      </c>
      <c r="O59" s="23" t="s">
        <v>217</v>
      </c>
      <c r="P59" s="26">
        <v>0.0</v>
      </c>
      <c r="Q59" s="26">
        <v>0.0</v>
      </c>
      <c r="R59" s="24">
        <v>45994.0</v>
      </c>
      <c r="S59" s="23" t="s">
        <v>192</v>
      </c>
      <c r="T59" s="23" t="s">
        <v>193</v>
      </c>
      <c r="U59" s="23" t="s">
        <v>166</v>
      </c>
      <c r="V59" s="26">
        <v>1.0</v>
      </c>
    </row>
    <row r="60">
      <c r="A60" s="22"/>
      <c r="B60" s="23">
        <v>55.0</v>
      </c>
      <c r="C60" s="23" t="s">
        <v>86</v>
      </c>
      <c r="D60" s="23" t="s">
        <v>158</v>
      </c>
      <c r="E60" s="24">
        <v>46030.0</v>
      </c>
      <c r="F60" s="24">
        <v>46031.0</v>
      </c>
      <c r="G60" s="25"/>
      <c r="H60" s="26">
        <v>0.0</v>
      </c>
      <c r="I60" s="26">
        <v>10.25</v>
      </c>
      <c r="J60" s="26">
        <v>10.25</v>
      </c>
      <c r="K60" s="26">
        <v>0.0</v>
      </c>
      <c r="L60" s="23" t="s">
        <v>190</v>
      </c>
      <c r="M60" s="23" t="s">
        <v>191</v>
      </c>
      <c r="N60" s="23" t="s">
        <v>80</v>
      </c>
      <c r="O60" s="23">
        <v>52.0</v>
      </c>
      <c r="P60" s="26">
        <v>0.0</v>
      </c>
      <c r="Q60" s="26">
        <v>0.0</v>
      </c>
      <c r="R60" s="24">
        <v>45994.0</v>
      </c>
      <c r="S60" s="23" t="s">
        <v>192</v>
      </c>
      <c r="T60" s="23" t="s">
        <v>193</v>
      </c>
      <c r="U60" s="23" t="s">
        <v>166</v>
      </c>
      <c r="V60" s="26">
        <v>1.0</v>
      </c>
    </row>
    <row r="61">
      <c r="A61" s="22"/>
      <c r="B61" s="23">
        <v>56.0</v>
      </c>
      <c r="C61" s="23" t="s">
        <v>87</v>
      </c>
      <c r="D61" s="23" t="s">
        <v>158</v>
      </c>
      <c r="E61" s="24">
        <v>46031.0</v>
      </c>
      <c r="F61" s="24">
        <v>46035.0</v>
      </c>
      <c r="G61" s="25"/>
      <c r="H61" s="26">
        <v>0.0</v>
      </c>
      <c r="I61" s="26">
        <v>12.57</v>
      </c>
      <c r="J61" s="26">
        <v>12.57</v>
      </c>
      <c r="K61" s="26">
        <v>0.0</v>
      </c>
      <c r="L61" s="23" t="s">
        <v>190</v>
      </c>
      <c r="M61" s="23" t="s">
        <v>191</v>
      </c>
      <c r="N61" s="23" t="s">
        <v>80</v>
      </c>
      <c r="O61" s="23">
        <v>55.0</v>
      </c>
      <c r="P61" s="26">
        <v>0.0</v>
      </c>
      <c r="Q61" s="26">
        <v>0.0</v>
      </c>
      <c r="R61" s="24">
        <v>45994.0</v>
      </c>
      <c r="S61" s="23" t="s">
        <v>192</v>
      </c>
      <c r="T61" s="23" t="s">
        <v>193</v>
      </c>
      <c r="U61" s="23" t="s">
        <v>166</v>
      </c>
      <c r="V61" s="26">
        <v>1.0</v>
      </c>
    </row>
    <row r="62">
      <c r="A62" s="22"/>
      <c r="B62" s="23">
        <v>57.0</v>
      </c>
      <c r="C62" s="23" t="s">
        <v>88</v>
      </c>
      <c r="D62" s="23" t="s">
        <v>158</v>
      </c>
      <c r="E62" s="24">
        <v>46031.0</v>
      </c>
      <c r="F62" s="24">
        <v>46035.0</v>
      </c>
      <c r="G62" s="25"/>
      <c r="H62" s="26">
        <v>0.0</v>
      </c>
      <c r="I62" s="26">
        <v>10.25</v>
      </c>
      <c r="J62" s="26">
        <v>10.25</v>
      </c>
      <c r="K62" s="26">
        <v>0.0</v>
      </c>
      <c r="L62" s="23" t="s">
        <v>190</v>
      </c>
      <c r="M62" s="23" t="s">
        <v>191</v>
      </c>
      <c r="N62" s="23" t="s">
        <v>80</v>
      </c>
      <c r="O62" s="23">
        <v>55.0</v>
      </c>
      <c r="P62" s="26">
        <v>0.0</v>
      </c>
      <c r="Q62" s="26">
        <v>0.0</v>
      </c>
      <c r="R62" s="24">
        <v>45994.0</v>
      </c>
      <c r="S62" s="23" t="s">
        <v>192</v>
      </c>
      <c r="T62" s="23" t="s">
        <v>193</v>
      </c>
      <c r="U62" s="23" t="s">
        <v>166</v>
      </c>
      <c r="V62" s="26">
        <v>1.0</v>
      </c>
    </row>
    <row r="63">
      <c r="A63" s="22"/>
      <c r="B63" s="23">
        <v>58.0</v>
      </c>
      <c r="C63" s="23" t="s">
        <v>89</v>
      </c>
      <c r="D63" s="23" t="s">
        <v>158</v>
      </c>
      <c r="E63" s="24">
        <v>46062.0</v>
      </c>
      <c r="F63" s="24">
        <v>46063.0</v>
      </c>
      <c r="G63" s="25"/>
      <c r="H63" s="26">
        <v>0.0</v>
      </c>
      <c r="I63" s="26">
        <v>13.6</v>
      </c>
      <c r="J63" s="26">
        <v>13.6</v>
      </c>
      <c r="K63" s="26">
        <v>0.0</v>
      </c>
      <c r="L63" s="23" t="s">
        <v>190</v>
      </c>
      <c r="M63" s="23" t="s">
        <v>191</v>
      </c>
      <c r="N63" s="23" t="s">
        <v>80</v>
      </c>
      <c r="O63" s="23" t="s">
        <v>218</v>
      </c>
      <c r="P63" s="26">
        <v>0.0</v>
      </c>
      <c r="Q63" s="26">
        <v>0.0</v>
      </c>
      <c r="R63" s="24">
        <v>45994.0</v>
      </c>
      <c r="S63" s="23" t="s">
        <v>192</v>
      </c>
      <c r="T63" s="23" t="s">
        <v>193</v>
      </c>
      <c r="U63" s="23" t="s">
        <v>166</v>
      </c>
      <c r="V63" s="26">
        <v>1.0</v>
      </c>
    </row>
    <row r="64">
      <c r="A64" s="22"/>
      <c r="B64" s="23">
        <v>59.0</v>
      </c>
      <c r="C64" s="23" t="s">
        <v>90</v>
      </c>
      <c r="D64" s="23" t="s">
        <v>158</v>
      </c>
      <c r="E64" s="24">
        <v>46064.0</v>
      </c>
      <c r="F64" s="24">
        <v>46066.0</v>
      </c>
      <c r="G64" s="25"/>
      <c r="H64" s="26">
        <v>0.0</v>
      </c>
      <c r="I64" s="26">
        <v>15.05</v>
      </c>
      <c r="J64" s="26">
        <v>15.05</v>
      </c>
      <c r="K64" s="26">
        <v>0.0</v>
      </c>
      <c r="L64" s="23" t="s">
        <v>190</v>
      </c>
      <c r="M64" s="23" t="s">
        <v>191</v>
      </c>
      <c r="N64" s="23" t="s">
        <v>80</v>
      </c>
      <c r="O64" s="23" t="s">
        <v>219</v>
      </c>
      <c r="P64" s="26">
        <v>0.0</v>
      </c>
      <c r="Q64" s="26">
        <v>0.0</v>
      </c>
      <c r="R64" s="24">
        <v>45994.0</v>
      </c>
      <c r="S64" s="23" t="s">
        <v>192</v>
      </c>
      <c r="T64" s="23" t="s">
        <v>193</v>
      </c>
      <c r="U64" s="23" t="s">
        <v>166</v>
      </c>
      <c r="V64" s="26">
        <v>1.0</v>
      </c>
    </row>
    <row r="65">
      <c r="A65" s="22"/>
      <c r="B65" s="23">
        <v>60.0</v>
      </c>
      <c r="C65" s="23" t="s">
        <v>91</v>
      </c>
      <c r="D65" s="23" t="s">
        <v>158</v>
      </c>
      <c r="E65" s="24">
        <v>46066.0</v>
      </c>
      <c r="F65" s="24">
        <v>46069.0</v>
      </c>
      <c r="G65" s="25"/>
      <c r="H65" s="26">
        <v>0.0</v>
      </c>
      <c r="I65" s="26">
        <v>9.45</v>
      </c>
      <c r="J65" s="26">
        <v>9.45</v>
      </c>
      <c r="K65" s="26">
        <v>0.0</v>
      </c>
      <c r="L65" s="23" t="s">
        <v>190</v>
      </c>
      <c r="M65" s="23" t="s">
        <v>191</v>
      </c>
      <c r="N65" s="23" t="s">
        <v>80</v>
      </c>
      <c r="O65" s="23">
        <v>59.0</v>
      </c>
      <c r="P65" s="26">
        <v>0.0</v>
      </c>
      <c r="Q65" s="26">
        <v>0.0</v>
      </c>
      <c r="R65" s="24">
        <v>45994.0</v>
      </c>
      <c r="S65" s="23" t="s">
        <v>192</v>
      </c>
      <c r="T65" s="23" t="s">
        <v>193</v>
      </c>
      <c r="U65" s="23" t="s">
        <v>166</v>
      </c>
      <c r="V65" s="26">
        <v>1.0</v>
      </c>
    </row>
    <row r="66">
      <c r="A66" s="22"/>
      <c r="B66" s="23">
        <v>61.0</v>
      </c>
      <c r="C66" s="23" t="s">
        <v>92</v>
      </c>
      <c r="D66" s="23" t="s">
        <v>158</v>
      </c>
      <c r="E66" s="24">
        <v>46036.0</v>
      </c>
      <c r="F66" s="24">
        <v>46038.0</v>
      </c>
      <c r="G66" s="25"/>
      <c r="H66" s="26">
        <v>0.0</v>
      </c>
      <c r="I66" s="26">
        <v>13.05</v>
      </c>
      <c r="J66" s="26">
        <v>13.05</v>
      </c>
      <c r="K66" s="26">
        <v>0.0</v>
      </c>
      <c r="L66" s="23" t="s">
        <v>190</v>
      </c>
      <c r="M66" s="23" t="s">
        <v>191</v>
      </c>
      <c r="N66" s="23" t="s">
        <v>80</v>
      </c>
      <c r="O66" s="23" t="s">
        <v>220</v>
      </c>
      <c r="P66" s="26">
        <v>0.0</v>
      </c>
      <c r="Q66" s="26">
        <v>0.0</v>
      </c>
      <c r="R66" s="24">
        <v>45994.0</v>
      </c>
      <c r="S66" s="23" t="s">
        <v>192</v>
      </c>
      <c r="T66" s="23" t="s">
        <v>193</v>
      </c>
      <c r="U66" s="23" t="s">
        <v>166</v>
      </c>
      <c r="V66" s="26">
        <v>1.0</v>
      </c>
    </row>
    <row r="67">
      <c r="A67" s="22"/>
      <c r="B67" s="23">
        <v>62.0</v>
      </c>
      <c r="C67" s="23" t="s">
        <v>94</v>
      </c>
      <c r="D67" s="23" t="s">
        <v>221</v>
      </c>
      <c r="E67" s="24">
        <v>46027.0</v>
      </c>
      <c r="F67" s="24">
        <v>46029.0</v>
      </c>
      <c r="G67" s="25"/>
      <c r="H67" s="26">
        <v>0.0</v>
      </c>
      <c r="I67" s="26">
        <v>13.05</v>
      </c>
      <c r="J67" s="26">
        <v>13.05</v>
      </c>
      <c r="K67" s="26">
        <v>0.0</v>
      </c>
      <c r="L67" s="23" t="s">
        <v>190</v>
      </c>
      <c r="M67" s="23" t="s">
        <v>191</v>
      </c>
      <c r="N67" s="23" t="s">
        <v>93</v>
      </c>
      <c r="O67" s="23" t="s">
        <v>222</v>
      </c>
      <c r="P67" s="26">
        <v>0.0</v>
      </c>
      <c r="Q67" s="26">
        <v>0.0</v>
      </c>
      <c r="R67" s="24">
        <v>45994.0</v>
      </c>
      <c r="S67" s="23" t="s">
        <v>192</v>
      </c>
      <c r="T67" s="23" t="s">
        <v>193</v>
      </c>
      <c r="U67" s="23" t="s">
        <v>166</v>
      </c>
      <c r="V67" s="26">
        <v>1.0</v>
      </c>
    </row>
    <row r="68">
      <c r="A68" s="22"/>
      <c r="B68" s="23">
        <v>63.0</v>
      </c>
      <c r="C68" s="23" t="s">
        <v>96</v>
      </c>
      <c r="D68" s="23" t="s">
        <v>223</v>
      </c>
      <c r="E68" s="24">
        <v>46064.0</v>
      </c>
      <c r="F68" s="24">
        <v>46066.0</v>
      </c>
      <c r="G68" s="25"/>
      <c r="H68" s="26">
        <v>0.0</v>
      </c>
      <c r="I68" s="26">
        <v>18.8</v>
      </c>
      <c r="J68" s="26">
        <v>18.8</v>
      </c>
      <c r="K68" s="26">
        <v>0.0</v>
      </c>
      <c r="L68" s="23" t="s">
        <v>190</v>
      </c>
      <c r="M68" s="23" t="s">
        <v>191</v>
      </c>
      <c r="N68" s="23" t="s">
        <v>93</v>
      </c>
      <c r="O68" s="23" t="s">
        <v>224</v>
      </c>
      <c r="P68" s="26">
        <v>0.0</v>
      </c>
      <c r="Q68" s="26">
        <v>0.0</v>
      </c>
      <c r="R68" s="24">
        <v>45994.0</v>
      </c>
      <c r="S68" s="23" t="s">
        <v>192</v>
      </c>
      <c r="T68" s="23" t="s">
        <v>193</v>
      </c>
      <c r="U68" s="23" t="s">
        <v>166</v>
      </c>
      <c r="V68" s="26">
        <v>1.0</v>
      </c>
    </row>
    <row r="69">
      <c r="A69" s="22"/>
      <c r="B69" s="23">
        <v>64.0</v>
      </c>
      <c r="C69" s="23" t="s">
        <v>97</v>
      </c>
      <c r="D69" s="23" t="s">
        <v>223</v>
      </c>
      <c r="E69" s="24">
        <v>46036.0</v>
      </c>
      <c r="F69" s="24">
        <v>46041.0</v>
      </c>
      <c r="G69" s="25"/>
      <c r="H69" s="26">
        <v>0.0</v>
      </c>
      <c r="I69" s="26">
        <v>21.45</v>
      </c>
      <c r="J69" s="26">
        <v>21.45</v>
      </c>
      <c r="K69" s="26">
        <v>0.0</v>
      </c>
      <c r="L69" s="23" t="s">
        <v>190</v>
      </c>
      <c r="M69" s="23" t="s">
        <v>191</v>
      </c>
      <c r="N69" s="23" t="s">
        <v>93</v>
      </c>
      <c r="O69" s="23" t="s">
        <v>225</v>
      </c>
      <c r="P69" s="26">
        <v>0.0</v>
      </c>
      <c r="Q69" s="26">
        <v>0.0</v>
      </c>
      <c r="R69" s="24">
        <v>45994.0</v>
      </c>
      <c r="S69" s="23" t="s">
        <v>192</v>
      </c>
      <c r="T69" s="23" t="s">
        <v>193</v>
      </c>
      <c r="U69" s="23" t="s">
        <v>166</v>
      </c>
      <c r="V69" s="26">
        <v>1.0</v>
      </c>
    </row>
    <row r="70">
      <c r="A70" s="22"/>
      <c r="B70" s="23">
        <v>65.0</v>
      </c>
      <c r="C70" s="23" t="s">
        <v>98</v>
      </c>
      <c r="D70" s="23" t="s">
        <v>226</v>
      </c>
      <c r="E70" s="24">
        <v>46064.0</v>
      </c>
      <c r="F70" s="24">
        <v>46066.0</v>
      </c>
      <c r="G70" s="25"/>
      <c r="H70" s="26">
        <v>0.0</v>
      </c>
      <c r="I70" s="26">
        <v>20.65</v>
      </c>
      <c r="J70" s="26">
        <v>20.65</v>
      </c>
      <c r="K70" s="26">
        <v>0.0</v>
      </c>
      <c r="L70" s="23" t="s">
        <v>190</v>
      </c>
      <c r="M70" s="23" t="s">
        <v>191</v>
      </c>
      <c r="N70" s="23" t="s">
        <v>93</v>
      </c>
      <c r="O70" s="23" t="s">
        <v>227</v>
      </c>
      <c r="P70" s="26">
        <v>0.0</v>
      </c>
      <c r="Q70" s="26">
        <v>0.0</v>
      </c>
      <c r="R70" s="24">
        <v>45994.0</v>
      </c>
      <c r="S70" s="23" t="s">
        <v>192</v>
      </c>
      <c r="T70" s="23" t="s">
        <v>193</v>
      </c>
      <c r="U70" s="23" t="s">
        <v>166</v>
      </c>
      <c r="V70" s="26">
        <v>1.0</v>
      </c>
    </row>
    <row r="71">
      <c r="A71" s="22"/>
      <c r="B71" s="23">
        <v>66.0</v>
      </c>
      <c r="C71" s="23" t="s">
        <v>99</v>
      </c>
      <c r="D71" s="23" t="s">
        <v>228</v>
      </c>
      <c r="E71" s="24">
        <v>46066.0</v>
      </c>
      <c r="F71" s="24">
        <v>46071.0</v>
      </c>
      <c r="G71" s="25"/>
      <c r="H71" s="26">
        <v>0.0</v>
      </c>
      <c r="I71" s="26">
        <v>25.05</v>
      </c>
      <c r="J71" s="26">
        <v>25.05</v>
      </c>
      <c r="K71" s="26">
        <v>0.0</v>
      </c>
      <c r="L71" s="23" t="s">
        <v>190</v>
      </c>
      <c r="M71" s="23" t="s">
        <v>191</v>
      </c>
      <c r="N71" s="23" t="s">
        <v>93</v>
      </c>
      <c r="O71" s="23" t="s">
        <v>229</v>
      </c>
      <c r="P71" s="26">
        <v>0.0</v>
      </c>
      <c r="Q71" s="26">
        <v>0.0</v>
      </c>
      <c r="R71" s="24">
        <v>45994.0</v>
      </c>
      <c r="S71" s="23" t="s">
        <v>192</v>
      </c>
      <c r="T71" s="23" t="s">
        <v>193</v>
      </c>
      <c r="U71" s="23" t="s">
        <v>166</v>
      </c>
      <c r="V71" s="26">
        <v>1.0</v>
      </c>
    </row>
    <row r="72">
      <c r="A72" s="22"/>
      <c r="B72" s="23">
        <v>67.0</v>
      </c>
      <c r="C72" s="23" t="s">
        <v>100</v>
      </c>
      <c r="D72" s="23" t="s">
        <v>207</v>
      </c>
      <c r="E72" s="24">
        <v>46038.0</v>
      </c>
      <c r="F72" s="24">
        <v>46042.0</v>
      </c>
      <c r="G72" s="25"/>
      <c r="H72" s="26">
        <v>0.0</v>
      </c>
      <c r="I72" s="26">
        <v>14.0</v>
      </c>
      <c r="J72" s="26">
        <v>14.0</v>
      </c>
      <c r="K72" s="26">
        <v>0.0</v>
      </c>
      <c r="L72" s="23" t="s">
        <v>190</v>
      </c>
      <c r="M72" s="23" t="s">
        <v>191</v>
      </c>
      <c r="N72" s="23" t="s">
        <v>93</v>
      </c>
      <c r="O72" s="23">
        <v>61.0</v>
      </c>
      <c r="P72" s="26">
        <v>0.0</v>
      </c>
      <c r="Q72" s="26">
        <v>0.0</v>
      </c>
      <c r="R72" s="24">
        <v>45994.0</v>
      </c>
      <c r="S72" s="23" t="s">
        <v>192</v>
      </c>
      <c r="T72" s="23" t="s">
        <v>193</v>
      </c>
      <c r="U72" s="23" t="s">
        <v>166</v>
      </c>
      <c r="V72" s="26">
        <v>1.0</v>
      </c>
    </row>
    <row r="73">
      <c r="A73" s="22"/>
      <c r="B73" s="23">
        <v>68.0</v>
      </c>
      <c r="C73" s="23" t="s">
        <v>101</v>
      </c>
      <c r="D73" s="23" t="s">
        <v>230</v>
      </c>
      <c r="E73" s="24">
        <v>46064.0</v>
      </c>
      <c r="F73" s="24">
        <v>46065.0</v>
      </c>
      <c r="G73" s="25"/>
      <c r="H73" s="26">
        <v>0.0</v>
      </c>
      <c r="I73" s="26">
        <v>14.0</v>
      </c>
      <c r="J73" s="26">
        <v>14.0</v>
      </c>
      <c r="K73" s="26">
        <v>0.0</v>
      </c>
      <c r="L73" s="23" t="s">
        <v>190</v>
      </c>
      <c r="M73" s="23" t="s">
        <v>191</v>
      </c>
      <c r="N73" s="23" t="s">
        <v>93</v>
      </c>
      <c r="O73" s="23" t="s">
        <v>231</v>
      </c>
      <c r="P73" s="26">
        <v>0.0</v>
      </c>
      <c r="Q73" s="26">
        <v>0.0</v>
      </c>
      <c r="R73" s="24">
        <v>45994.0</v>
      </c>
      <c r="S73" s="23" t="s">
        <v>192</v>
      </c>
      <c r="T73" s="23" t="s">
        <v>193</v>
      </c>
      <c r="U73" s="23" t="s">
        <v>166</v>
      </c>
      <c r="V73" s="26">
        <v>1.0</v>
      </c>
    </row>
    <row r="74">
      <c r="A74" s="22"/>
      <c r="B74" s="23">
        <v>69.0</v>
      </c>
      <c r="C74" s="23" t="s">
        <v>103</v>
      </c>
      <c r="D74" s="23" t="s">
        <v>232</v>
      </c>
      <c r="E74" s="24">
        <v>46027.0</v>
      </c>
      <c r="F74" s="24">
        <v>46029.0</v>
      </c>
      <c r="G74" s="25"/>
      <c r="H74" s="26">
        <v>0.0</v>
      </c>
      <c r="I74" s="26">
        <v>10.97</v>
      </c>
      <c r="J74" s="26">
        <v>10.97</v>
      </c>
      <c r="K74" s="26">
        <v>0.0</v>
      </c>
      <c r="L74" s="23" t="s">
        <v>190</v>
      </c>
      <c r="M74" s="23" t="s">
        <v>191</v>
      </c>
      <c r="N74" s="23" t="s">
        <v>93</v>
      </c>
      <c r="O74" s="23" t="s">
        <v>233</v>
      </c>
      <c r="P74" s="26">
        <v>0.0</v>
      </c>
      <c r="Q74" s="26">
        <v>0.0</v>
      </c>
      <c r="R74" s="24">
        <v>45994.0</v>
      </c>
      <c r="S74" s="23" t="s">
        <v>192</v>
      </c>
      <c r="T74" s="23" t="s">
        <v>193</v>
      </c>
      <c r="U74" s="23" t="s">
        <v>166</v>
      </c>
      <c r="V74" s="26">
        <v>1.0</v>
      </c>
    </row>
    <row r="75">
      <c r="A75" s="22"/>
      <c r="B75" s="23">
        <v>70.0</v>
      </c>
      <c r="C75" s="23" t="s">
        <v>104</v>
      </c>
      <c r="D75" s="23" t="s">
        <v>189</v>
      </c>
      <c r="E75" s="24">
        <v>46071.0</v>
      </c>
      <c r="F75" s="24">
        <v>46073.0</v>
      </c>
      <c r="G75" s="25"/>
      <c r="H75" s="26">
        <v>0.0</v>
      </c>
      <c r="I75" s="26">
        <v>11.05</v>
      </c>
      <c r="J75" s="26">
        <v>11.05</v>
      </c>
      <c r="K75" s="26">
        <v>0.0</v>
      </c>
      <c r="L75" s="23" t="s">
        <v>190</v>
      </c>
      <c r="M75" s="23" t="s">
        <v>191</v>
      </c>
      <c r="N75" s="23" t="s">
        <v>93</v>
      </c>
      <c r="O75" s="23" t="s">
        <v>234</v>
      </c>
      <c r="P75" s="26">
        <v>0.0</v>
      </c>
      <c r="Q75" s="26">
        <v>0.0</v>
      </c>
      <c r="R75" s="24">
        <v>45994.0</v>
      </c>
      <c r="S75" s="23" t="s">
        <v>192</v>
      </c>
      <c r="T75" s="23" t="s">
        <v>193</v>
      </c>
      <c r="U75" s="23" t="s">
        <v>166</v>
      </c>
      <c r="V75" s="26">
        <v>1.0</v>
      </c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>
      <c r="A77" s="28" t="s">
        <v>235</v>
      </c>
    </row>
  </sheetData>
  <mergeCells count="5">
    <mergeCell ref="A1:I3"/>
    <mergeCell ref="J2:V2"/>
    <mergeCell ref="A4:K4"/>
    <mergeCell ref="L4:V4"/>
    <mergeCell ref="A77:V77"/>
  </mergeCells>
  <drawing r:id="rId1"/>
</worksheet>
</file>